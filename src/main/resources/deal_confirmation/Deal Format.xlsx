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MAHESH VERMA\Desktop\"/>
    </mc:Choice>
  </mc:AlternateContent>
  <xr:revisionPtr revIDLastSave="0" documentId="13_ncr:1_{779F8E14-31A2-4055-B7E5-8305C040A126}" xr6:coauthVersionLast="47" xr6:coauthVersionMax="47" xr10:uidLastSave="{00000000-0000-0000-0000-000000000000}"/>
  <bookViews>
    <workbookView xWindow="-120" yWindow="-120" windowWidth="29040" windowHeight="15840" activeTab="1" xr2:uid="{00000000-000D-0000-FFFF-FFFF00000000}"/>
  </bookViews>
  <sheets>
    <sheet name="private paper " sheetId="1" r:id="rId1"/>
    <sheet name="gsec pap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2" l="1"/>
  <c r="C26" i="2"/>
  <c r="C25" i="2"/>
  <c r="C23" i="2"/>
  <c r="C27" i="2" s="1"/>
  <c r="C40" i="1"/>
  <c r="C26" i="1"/>
  <c r="C28" i="1" s="1"/>
  <c r="C24" i="1"/>
  <c r="C28" i="2" l="1"/>
  <c r="C30" i="2" s="1"/>
  <c r="C27" i="1"/>
  <c r="C30" i="1" s="1"/>
</calcChain>
</file>

<file path=xl/sharedStrings.xml><?xml version="1.0" encoding="utf-8"?>
<sst xmlns="http://schemas.openxmlformats.org/spreadsheetml/2006/main" count="97" uniqueCount="75">
  <si>
    <t>2026/S/AUG/114</t>
  </si>
  <si>
    <t>Dear Sir,</t>
  </si>
  <si>
    <t>We hereby confirm the following transaction:</t>
  </si>
  <si>
    <t>Type of Transaction</t>
  </si>
  <si>
    <t>Our Sale</t>
  </si>
  <si>
    <t>Mode of delivery</t>
  </si>
  <si>
    <t>ICCL</t>
  </si>
  <si>
    <t>Deal Date</t>
  </si>
  <si>
    <t>Settlement Date</t>
  </si>
  <si>
    <t>ISIN No.</t>
  </si>
  <si>
    <t>INE0I5X07067</t>
  </si>
  <si>
    <t>Price</t>
  </si>
  <si>
    <t>Security Name</t>
  </si>
  <si>
    <t>13.70% MONEDO FINANCIAL SERVICES PVT. LTD. 2027</t>
  </si>
  <si>
    <t>Maturity Date</t>
  </si>
  <si>
    <t>23 JUL 2027 (30%) 23 AUG 2027 (30%) 30 SEP 2027 (40%)</t>
  </si>
  <si>
    <t>IP DATE</t>
  </si>
  <si>
    <t>23rd Of Every Month</t>
  </si>
  <si>
    <t>last  IP  date</t>
  </si>
  <si>
    <t>Coupon</t>
  </si>
  <si>
    <t>No. of Days</t>
  </si>
  <si>
    <t>No of Bonds</t>
  </si>
  <si>
    <t>Face Value</t>
  </si>
  <si>
    <t>Price Value</t>
  </si>
  <si>
    <t>Add Interest</t>
  </si>
  <si>
    <t xml:space="preserve">Stamp Duty </t>
  </si>
  <si>
    <t xml:space="preserve">Total Consideration </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</si>
  <si>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</si>
  <si>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</si>
  <si>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</si>
  <si>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</si>
  <si>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</si>
  <si>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</si>
  <si>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</si>
  <si>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</si>
  <si>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</si>
  <si>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</si>
  <si>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</si>
  <si>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</si>
  <si>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</si>
  <si>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</si>
  <si>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</si>
  <si>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</si>
  <si>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</si>
  <si>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</si>
  <si>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</si>
  <si>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</si>
  <si>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2026/S/AUG/123</t>
  </si>
  <si>
    <t xml:space="preserve">Demat </t>
  </si>
  <si>
    <t>Value Date</t>
  </si>
  <si>
    <t>IN0020230044</t>
  </si>
  <si>
    <t>7.25% GOI 2063</t>
  </si>
  <si>
    <t>Interest Payment  Date</t>
  </si>
  <si>
    <t>12/06-12/12</t>
  </si>
  <si>
    <t>Last  Interest Payment  Date</t>
  </si>
  <si>
    <t>Coupon Rate</t>
  </si>
  <si>
    <t>No. Of Accrued Days</t>
  </si>
  <si>
    <t xml:space="preserve">Total Bonds </t>
  </si>
  <si>
    <t xml:space="preserve">Quantum </t>
  </si>
  <si>
    <t xml:space="preserve">Principal Amount </t>
  </si>
  <si>
    <t>Accrued  Interest</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</si>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</sst>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000"/>
    <numFmt numFmtId="166"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2"/>
      <color theme="1"/>
      <name val="Book Antiqua"/>
      <family val="1"/>
    </font>
    <font>
      <b/>
      <sz val="9"/>
      <color theme="1"/>
      <name val="Book Antiqua"/>
      <family val="1"/>
    </font>
    <font>
      <b/>
      <sz val="11"/>
      <color indexed="8"/>
      <name val="Calibri"/>
      <family val="2"/>
    </font>
    <font>
      <b/>
      <sz val="11"/>
      <name val="Calibri"/>
      <family val="2"/>
      <scheme val="minor"/>
    </font>
    <font>
      <b/>
      <sz val="10"/>
      <name val="Calibri"/>
      <family val="2"/>
      <scheme val="minor"/>
    </font>
    <font>
      <sz val="10"/>
      <color theme="1"/>
      <name val="Calibri"/>
      <family val="2"/>
      <scheme val="minor"/>
    </font>
    <font>
      <b/>
      <u val="doubleAccounting"/>
      <sz val="11"/>
      <name val="Calibri"/>
      <family val="2"/>
    </font>
    <font>
      <b/>
      <sz val="11"/>
      <color indexed="8"/>
      <name val="Calibri"/>
      <family val="2"/>
      <scheme val="minor"/>
    </font>
    <font>
      <b/>
      <sz val="10"/>
      <color theme="1"/>
      <name val="Calibri"/>
      <family val="2"/>
      <scheme val="minor"/>
    </font>
    <font>
      <sz val="8"/>
      <color theme="1"/>
      <name val="Calibri"/>
      <family val="2"/>
      <scheme val="minor"/>
    </font>
    <font>
      <b/>
      <sz val="14"/>
      <color theme="1"/>
      <name val="Book Antiqua"/>
      <family val="1"/>
    </font>
    <font>
      <b/>
      <sz val="8"/>
      <color theme="1"/>
      <name val="Book Antiqua"/>
      <family val="1"/>
    </font>
    <font>
      <b/>
      <sz val="8"/>
      <name val="Calibri"/>
      <family val="2"/>
      <scheme val="minor"/>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9">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wrapText="1"/>
    </xf>
    <xf numFmtId="0" fontId="6" fillId="0" borderId="0" xfId="0" applyFont="1" applyAlignment="1">
      <alignment horizontal="left" wrapText="1"/>
    </xf>
    <xf numFmtId="0" fontId="6" fillId="0" borderId="5" xfId="0" applyFont="1" applyBorder="1" applyAlignment="1">
      <alignment horizontal="left" wrapText="1"/>
    </xf>
    <xf numFmtId="0" fontId="6" fillId="0" borderId="4" xfId="0" applyFont="1" applyBorder="1" applyAlignment="1">
      <alignment horizontal="left" wrapText="1"/>
    </xf>
    <xf numFmtId="0" fontId="6" fillId="0" borderId="0" xfId="0" applyFont="1" applyAlignment="1">
      <alignment horizontal="left" wrapText="1"/>
    </xf>
    <xf numFmtId="0" fontId="6" fillId="0" borderId="5" xfId="0" applyFont="1" applyBorder="1" applyAlignment="1">
      <alignment horizontal="left"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vertical="top"/>
    </xf>
    <xf numFmtId="164" fontId="8" fillId="0" borderId="13" xfId="0" applyNumberFormat="1" applyFont="1" applyBorder="1" applyAlignment="1">
      <alignment horizontal="center" vertical="top"/>
    </xf>
    <xf numFmtId="165" fontId="7" fillId="2" borderId="12" xfId="0" applyNumberFormat="1" applyFont="1" applyFill="1" applyBorder="1" applyAlignment="1" applyProtection="1">
      <alignment horizontal="left"/>
      <protection locked="0"/>
    </xf>
    <xf numFmtId="165"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9" fillId="0" borderId="12" xfId="0" applyNumberFormat="1" applyFont="1" applyBorder="1" applyAlignment="1">
      <alignment horizontal="left" vertical="center" wrapText="1"/>
    </xf>
    <xf numFmtId="164" fontId="9" fillId="0" borderId="13" xfId="0" applyNumberFormat="1" applyFont="1" applyBorder="1" applyAlignment="1">
      <alignment horizontal="left" vertical="center" wrapText="1"/>
    </xf>
    <xf numFmtId="0" fontId="0" fillId="0" borderId="0" xfId="0" applyAlignment="1">
      <alignment horizontal="left"/>
    </xf>
    <xf numFmtId="164" fontId="9" fillId="0" borderId="12" xfId="0" applyNumberFormat="1" applyFont="1" applyBorder="1" applyAlignment="1">
      <alignment horizontal="left"/>
    </xf>
    <xf numFmtId="164" fontId="9" fillId="0" borderId="13" xfId="0" applyNumberFormat="1" applyFont="1" applyBorder="1" applyAlignment="1">
      <alignment horizontal="left"/>
    </xf>
    <xf numFmtId="0" fontId="10"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11" fillId="0" borderId="10" xfId="0" applyNumberFormat="1" applyFont="1" applyBorder="1" applyAlignment="1">
      <alignment horizontal="left"/>
    </xf>
    <xf numFmtId="4" fontId="11" fillId="0" borderId="11" xfId="0" applyNumberFormat="1" applyFont="1" applyBorder="1" applyAlignment="1">
      <alignment horizontal="left"/>
    </xf>
    <xf numFmtId="4" fontId="0" fillId="0" borderId="0" xfId="0" applyNumberFormat="1"/>
    <xf numFmtId="0" fontId="2" fillId="0" borderId="9" xfId="0" applyFont="1" applyBorder="1"/>
    <xf numFmtId="2" fontId="12" fillId="0" borderId="10" xfId="0" applyNumberFormat="1" applyFont="1" applyBorder="1" applyAlignment="1">
      <alignment horizontal="left"/>
    </xf>
    <xf numFmtId="0" fontId="2" fillId="0" borderId="10" xfId="0" applyFont="1" applyBorder="1"/>
    <xf numFmtId="0" fontId="2" fillId="0" borderId="11" xfId="0" applyFont="1" applyBorder="1"/>
    <xf numFmtId="0" fontId="8" fillId="0" borderId="10" xfId="0" applyFont="1" applyBorder="1" applyAlignment="1">
      <alignment horizontal="left"/>
    </xf>
    <xf numFmtId="0" fontId="8" fillId="0" borderId="10" xfId="0" applyFont="1" applyBorder="1"/>
    <xf numFmtId="0" fontId="13" fillId="0" borderId="9" xfId="0" applyFont="1" applyBorder="1"/>
    <xf numFmtId="0" fontId="9" fillId="0" borderId="10" xfId="0" applyFont="1" applyBorder="1" applyAlignment="1">
      <alignment horizontal="left" wrapText="1"/>
    </xf>
    <xf numFmtId="0" fontId="9" fillId="0" borderId="10" xfId="0" applyFont="1" applyBorder="1" applyAlignment="1">
      <alignment horizontal="left" vertical="center"/>
    </xf>
    <xf numFmtId="0" fontId="13" fillId="0" borderId="11" xfId="0" applyFont="1" applyBorder="1" applyAlignment="1">
      <alignment wrapText="1"/>
    </xf>
    <xf numFmtId="1" fontId="12" fillId="0" borderId="10" xfId="0" applyNumberFormat="1" applyFont="1" applyBorder="1" applyAlignment="1">
      <alignment horizontal="left"/>
    </xf>
    <xf numFmtId="0" fontId="2" fillId="0" borderId="11" xfId="0" applyFont="1" applyBorder="1" applyAlignment="1">
      <alignment horizontal="left"/>
    </xf>
    <xf numFmtId="0" fontId="14" fillId="0" borderId="16" xfId="0" applyFont="1" applyBorder="1" applyAlignment="1">
      <alignment horizontal="justify" vertical="justify" wrapText="1"/>
    </xf>
    <xf numFmtId="0" fontId="14" fillId="0" borderId="17" xfId="0" applyFont="1" applyBorder="1" applyAlignment="1">
      <alignment horizontal="justify" vertical="justify" wrapText="1"/>
    </xf>
    <xf numFmtId="0" fontId="14" fillId="0" borderId="18" xfId="0" applyFont="1" applyBorder="1" applyAlignment="1">
      <alignment horizontal="justify" vertical="justify" wrapText="1"/>
    </xf>
    <xf numFmtId="0" fontId="14" fillId="0" borderId="14" xfId="0" applyFont="1" applyBorder="1" applyAlignment="1">
      <alignment horizontal="justify" vertical="justify" wrapText="1"/>
    </xf>
    <xf numFmtId="0" fontId="14" fillId="0" borderId="19" xfId="0" applyFont="1" applyBorder="1" applyAlignment="1">
      <alignment horizontal="justify" vertical="justify" wrapText="1"/>
    </xf>
    <xf numFmtId="0" fontId="14"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5" fillId="0" borderId="4" xfId="0" applyFont="1" applyBorder="1" applyAlignment="1">
      <alignment horizontal="left" vertical="center" wrapText="1"/>
    </xf>
    <xf numFmtId="0" fontId="15" fillId="0" borderId="0" xfId="0" applyFont="1" applyAlignment="1">
      <alignment horizontal="left" vertical="center" wrapText="1"/>
    </xf>
    <xf numFmtId="0" fontId="1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166" fontId="0" fillId="0" borderId="0" xfId="0" applyNumberFormat="1"/>
    <xf numFmtId="10" fontId="0" fillId="0" borderId="0" xfId="1" applyNumberFormat="1" applyFont="1" applyBorder="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0" fontId="0" fillId="0" borderId="0" xfId="0" applyAlignment="1">
      <alignment horizontal="center"/>
    </xf>
    <xf numFmtId="14" fontId="0" fillId="0" borderId="0" xfId="0" applyNumberFormat="1" applyAlignment="1">
      <alignment wrapText="1"/>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4" fontId="11" fillId="0" borderId="12" xfId="0" applyNumberFormat="1" applyFont="1" applyBorder="1" applyAlignment="1">
      <alignment horizontal="left"/>
    </xf>
    <xf numFmtId="4" fontId="11" fillId="0" borderId="13" xfId="0" applyNumberFormat="1" applyFont="1" applyBorder="1" applyAlignment="1">
      <alignment horizontal="left"/>
    </xf>
    <xf numFmtId="0" fontId="12" fillId="0" borderId="10" xfId="0" applyFont="1" applyBorder="1" applyAlignment="1">
      <alignment horizontal="left"/>
    </xf>
    <xf numFmtId="0" fontId="12"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17" fillId="0" borderId="10" xfId="0" applyFont="1" applyBorder="1" applyAlignment="1">
      <alignment horizontal="left" vertical="top" wrapText="1"/>
    </xf>
    <xf numFmtId="0" fontId="8" fillId="0" borderId="10" xfId="0" applyFont="1" applyBorder="1" applyAlignment="1">
      <alignment vertical="center"/>
    </xf>
    <xf numFmtId="0" fontId="13"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2" fillId="0" borderId="10" xfId="0" quotePrefix="1" applyNumberFormat="1" applyFont="1" applyBorder="1" applyAlignment="1">
      <alignment horizontal="left"/>
    </xf>
    <xf numFmtId="0" fontId="12" fillId="0" borderId="10" xfId="0" applyFont="1" applyBorder="1" applyAlignment="1">
      <alignment vertical="center"/>
    </xf>
    <xf numFmtId="1" fontId="12" fillId="0" borderId="11" xfId="0" quotePrefix="1" applyNumberFormat="1" applyFont="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152397</xdr:colOff>
      <xdr:row>0</xdr:row>
      <xdr:rowOff>76199</xdr:rowOff>
    </xdr:from>
    <xdr:to>
      <xdr:col>3</xdr:col>
      <xdr:colOff>1571624</xdr:colOff>
      <xdr:row>2</xdr:row>
      <xdr:rowOff>114300</xdr:rowOff>
    </xdr:to>
    <xdr:pic>
      <xdr:nvPicPr>
        <xdr:cNvPr id="2" name="Picture 1">
          <a:extLst>
            <a:ext uri="{FF2B5EF4-FFF2-40B4-BE49-F238E27FC236}">
              <a16:creationId xmlns:a16="http://schemas.microsoft.com/office/drawing/2014/main" id="{A3D34F1A-BC24-44DE-A07E-8E8DAF61C334}"/>
            </a:ext>
          </a:extLst>
        </xdr:cNvPr>
        <xdr:cNvPicPr>
          <a:picLocks noChangeAspect="1" noChangeArrowheads="1"/>
        </xdr:cNvPicPr>
      </xdr:nvPicPr>
      <xdr:blipFill>
        <a:blip xmlns:r="http://schemas.openxmlformats.org/officeDocument/2006/relationships" r:embed="rId1"/>
        <a:srcRect/>
        <a:stretch>
          <a:fillRect/>
        </a:stretch>
      </xdr:blipFill>
      <xdr:spPr>
        <a:xfrm>
          <a:off x="152397" y="76199"/>
          <a:ext cx="5876927" cy="447676"/>
        </a:xfrm>
        <a:prstGeom prst="rect">
          <a:avLst/>
        </a:prstGeom>
        <a:noFill/>
        <a:ln w="9525">
          <a:noFill/>
          <a:miter lim="800000"/>
          <a:headEnd/>
          <a:tailEnd/>
        </a:ln>
      </xdr:spPr>
    </xdr:pic>
    <xdr:clientData/>
  </xdr:twoCellAnchor>
  <xdr:twoCellAnchor editAs="oneCell">
    <xdr:from>
      <xdr:col>0</xdr:col>
      <xdr:colOff>180951</xdr:colOff>
      <xdr:row>38</xdr:row>
      <xdr:rowOff>38100</xdr:rowOff>
    </xdr:from>
    <xdr:to>
      <xdr:col>0</xdr:col>
      <xdr:colOff>752475</xdr:colOff>
      <xdr:row>39</xdr:row>
      <xdr:rowOff>142875</xdr:rowOff>
    </xdr:to>
    <xdr:pic>
      <xdr:nvPicPr>
        <xdr:cNvPr id="3" name="Picture 8">
          <a:extLst>
            <a:ext uri="{FF2B5EF4-FFF2-40B4-BE49-F238E27FC236}">
              <a16:creationId xmlns:a16="http://schemas.microsoft.com/office/drawing/2014/main" id="{0D0D292C-2ECD-4FA4-94E3-FAC68DF40853}"/>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80951" y="8686800"/>
          <a:ext cx="581049" cy="295275"/>
        </a:xfrm>
        <a:prstGeom prst="rect">
          <a:avLst/>
        </a:prstGeom>
        <a:noFill/>
        <a:ln w="9525">
          <a:noFill/>
          <a:miter lim="800000"/>
          <a:headEnd/>
          <a:tailEnd/>
        </a:ln>
      </xdr:spPr>
    </xdr:pic>
    <xdr:clientData/>
  </xdr:twoCellAnchor>
  <xdr:twoCellAnchor editAs="oneCell">
    <xdr:from>
      <xdr:col>0</xdr:col>
      <xdr:colOff>285738</xdr:colOff>
      <xdr:row>41</xdr:row>
      <xdr:rowOff>85725</xdr:rowOff>
    </xdr:from>
    <xdr:to>
      <xdr:col>3</xdr:col>
      <xdr:colOff>1409700</xdr:colOff>
      <xdr:row>43</xdr:row>
      <xdr:rowOff>152400</xdr:rowOff>
    </xdr:to>
    <xdr:pic>
      <xdr:nvPicPr>
        <xdr:cNvPr id="4" name="Picture 2">
          <a:extLst>
            <a:ext uri="{FF2B5EF4-FFF2-40B4-BE49-F238E27FC236}">
              <a16:creationId xmlns:a16="http://schemas.microsoft.com/office/drawing/2014/main" id="{E48AEABE-98B9-4C98-97B6-6C527BD62DD2}"/>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5738" y="9305925"/>
          <a:ext cx="5667387" cy="44767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190498</xdr:colOff>
      <xdr:row>0</xdr:row>
      <xdr:rowOff>76200</xdr:rowOff>
    </xdr:from>
    <xdr:to>
      <xdr:col>3</xdr:col>
      <xdr:colOff>1504950</xdr:colOff>
      <xdr:row>2</xdr:row>
      <xdr:rowOff>123825</xdr:rowOff>
    </xdr:to>
    <xdr:pic>
      <xdr:nvPicPr>
        <xdr:cNvPr id="2" name="Picture 1">
          <a:extLst>
            <a:ext uri="{FF2B5EF4-FFF2-40B4-BE49-F238E27FC236}">
              <a16:creationId xmlns:a16="http://schemas.microsoft.com/office/drawing/2014/main" id="{37064F35-452B-4D5E-86C2-BCC00E0E6033}"/>
            </a:ext>
          </a:extLst>
        </xdr:cNvPr>
        <xdr:cNvPicPr>
          <a:picLocks noChangeAspect="1" noChangeArrowheads="1"/>
        </xdr:cNvPicPr>
      </xdr:nvPicPr>
      <xdr:blipFill>
        <a:blip xmlns:r="http://schemas.openxmlformats.org/officeDocument/2006/relationships" r:embed="rId1"/>
        <a:srcRect/>
        <a:stretch>
          <a:fillRect/>
        </a:stretch>
      </xdr:blipFill>
      <xdr:spPr>
        <a:xfrm>
          <a:off x="190498" y="76200"/>
          <a:ext cx="6096002" cy="476250"/>
        </a:xfrm>
        <a:prstGeom prst="rect">
          <a:avLst/>
        </a:prstGeom>
        <a:noFill/>
        <a:ln w="9525">
          <a:noFill/>
          <a:miter lim="800000"/>
          <a:headEnd/>
          <a:tailEnd/>
        </a:ln>
      </xdr:spPr>
    </xdr:pic>
    <xdr:clientData/>
  </xdr:twoCellAnchor>
  <xdr:twoCellAnchor editAs="oneCell">
    <xdr:from>
      <xdr:col>0</xdr:col>
      <xdr:colOff>180950</xdr:colOff>
      <xdr:row>39</xdr:row>
      <xdr:rowOff>38100</xdr:rowOff>
    </xdr:from>
    <xdr:to>
      <xdr:col>0</xdr:col>
      <xdr:colOff>895350</xdr:colOff>
      <xdr:row>40</xdr:row>
      <xdr:rowOff>142875</xdr:rowOff>
    </xdr:to>
    <xdr:pic>
      <xdr:nvPicPr>
        <xdr:cNvPr id="3" name="Picture 8">
          <a:extLst>
            <a:ext uri="{FF2B5EF4-FFF2-40B4-BE49-F238E27FC236}">
              <a16:creationId xmlns:a16="http://schemas.microsoft.com/office/drawing/2014/main" id="{3CB97F1F-FCBF-4C56-9603-42AD150B7D2C}"/>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80950" y="8839200"/>
          <a:ext cx="723925" cy="295275"/>
        </a:xfrm>
        <a:prstGeom prst="rect">
          <a:avLst/>
        </a:prstGeom>
        <a:noFill/>
        <a:ln w="9525">
          <a:noFill/>
          <a:miter lim="800000"/>
          <a:headEnd/>
          <a:tailEnd/>
        </a:ln>
      </xdr:spPr>
    </xdr:pic>
    <xdr:clientData/>
  </xdr:twoCellAnchor>
  <xdr:twoCellAnchor editAs="oneCell">
    <xdr:from>
      <xdr:col>0</xdr:col>
      <xdr:colOff>266685</xdr:colOff>
      <xdr:row>42</xdr:row>
      <xdr:rowOff>76200</xdr:rowOff>
    </xdr:from>
    <xdr:to>
      <xdr:col>3</xdr:col>
      <xdr:colOff>1476375</xdr:colOff>
      <xdr:row>44</xdr:row>
      <xdr:rowOff>76200</xdr:rowOff>
    </xdr:to>
    <xdr:pic>
      <xdr:nvPicPr>
        <xdr:cNvPr id="4" name="Picture 2">
          <a:extLst>
            <a:ext uri="{FF2B5EF4-FFF2-40B4-BE49-F238E27FC236}">
              <a16:creationId xmlns:a16="http://schemas.microsoft.com/office/drawing/2014/main" id="{E8100218-1DAC-4F7B-A9E8-BD458BF20BC2}"/>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66685" y="9448800"/>
          <a:ext cx="6086490" cy="3810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workbookViewId="0">
      <selection activeCell="L15" sqref="L15"/>
    </sheetView>
  </sheetViews>
  <sheetFormatPr defaultColWidth="9" defaultRowHeight="15" x14ac:dyDescent="0.25"/>
  <cols>
    <col min="1" max="1" width="18.85546875" customWidth="1"/>
    <col min="2" max="2" width="26.7109375" customWidth="1"/>
    <col min="3" max="3" width="21.28515625" customWidth="1"/>
    <col min="4" max="4" width="28.42578125" customWidth="1"/>
    <col min="6" max="6" width="13.140625" customWidth="1"/>
    <col min="9" max="9" width="11.5703125" customWidth="1"/>
  </cols>
  <sheetData>
    <row r="1" spans="1:9" ht="15" customHeight="1" x14ac:dyDescent="0.25">
      <c r="A1" s="1"/>
      <c r="B1" s="2"/>
      <c r="C1" s="2"/>
      <c r="D1" s="3"/>
    </row>
    <row r="2" spans="1:9" ht="17.25" customHeight="1" x14ac:dyDescent="0.25">
      <c r="A2" s="4"/>
      <c r="B2" s="5"/>
      <c r="C2" s="5"/>
      <c r="D2" s="6"/>
    </row>
    <row r="3" spans="1:9" ht="15.75" thickBot="1" x14ac:dyDescent="0.3">
      <c r="A3" s="7"/>
      <c r="B3" s="8"/>
      <c r="C3" s="8"/>
      <c r="D3" s="9"/>
    </row>
    <row r="4" spans="1:9" ht="17.25" customHeight="1" x14ac:dyDescent="0.25">
      <c r="A4" s="10">
        <v>46252</v>
      </c>
      <c r="B4" s="11"/>
      <c r="C4" s="12"/>
      <c r="D4" s="13"/>
    </row>
    <row r="5" spans="1:9" x14ac:dyDescent="0.25">
      <c r="A5" s="14" t="s">
        <v>0</v>
      </c>
      <c r="B5" s="15"/>
      <c r="C5" s="12"/>
      <c r="D5" s="13"/>
    </row>
    <row r="6" spans="1:9" ht="17.25" customHeight="1" x14ac:dyDescent="0.25">
      <c r="A6" s="14"/>
      <c r="B6" s="15"/>
      <c r="C6" s="12"/>
      <c r="D6" s="13"/>
    </row>
    <row r="7" spans="1:9" ht="16.5" x14ac:dyDescent="0.25">
      <c r="A7" s="16"/>
      <c r="B7" s="17"/>
      <c r="C7" s="17"/>
      <c r="D7" s="18"/>
    </row>
    <row r="8" spans="1:9" ht="15.75" x14ac:dyDescent="0.3">
      <c r="A8" s="19"/>
      <c r="B8" s="20"/>
      <c r="C8" s="20"/>
      <c r="D8" s="21"/>
    </row>
    <row r="9" spans="1:9" ht="15.75" x14ac:dyDescent="0.3">
      <c r="A9" s="22"/>
      <c r="B9" s="23"/>
      <c r="C9" s="23"/>
      <c r="D9" s="24"/>
    </row>
    <row r="10" spans="1:9" ht="16.5" x14ac:dyDescent="0.25">
      <c r="A10" s="25"/>
      <c r="B10" s="26"/>
      <c r="C10" s="26"/>
      <c r="D10" s="27"/>
    </row>
    <row r="11" spans="1:9" x14ac:dyDescent="0.25">
      <c r="A11" s="28" t="s">
        <v>1</v>
      </c>
      <c r="B11" s="29"/>
      <c r="C11" s="12"/>
      <c r="D11" s="13"/>
    </row>
    <row r="12" spans="1:9" x14ac:dyDescent="0.25">
      <c r="A12" s="28" t="s">
        <v>2</v>
      </c>
      <c r="B12" s="29"/>
      <c r="C12" s="12"/>
      <c r="D12" s="13"/>
    </row>
    <row r="13" spans="1:9" x14ac:dyDescent="0.25">
      <c r="A13" s="30" t="s">
        <v>3</v>
      </c>
      <c r="B13" s="31"/>
      <c r="C13" s="32" t="s">
        <v>4</v>
      </c>
      <c r="D13" s="33"/>
      <c r="G13" s="34"/>
    </row>
    <row r="14" spans="1:9" x14ac:dyDescent="0.25">
      <c r="A14" s="30" t="s">
        <v>5</v>
      </c>
      <c r="B14" s="31"/>
      <c r="C14" s="35" t="s">
        <v>6</v>
      </c>
      <c r="D14" s="36"/>
      <c r="G14" s="37"/>
    </row>
    <row r="15" spans="1:9" x14ac:dyDescent="0.25">
      <c r="A15" s="30" t="s">
        <v>7</v>
      </c>
      <c r="B15" s="31"/>
      <c r="C15" s="38">
        <v>46254</v>
      </c>
      <c r="D15" s="39"/>
      <c r="I15" s="40"/>
    </row>
    <row r="16" spans="1:9" x14ac:dyDescent="0.25">
      <c r="A16" s="41" t="s">
        <v>8</v>
      </c>
      <c r="B16" s="42"/>
      <c r="C16" s="43">
        <v>46254</v>
      </c>
      <c r="D16" s="44"/>
      <c r="F16" s="45"/>
    </row>
    <row r="17" spans="1:10" x14ac:dyDescent="0.25">
      <c r="A17" s="41" t="s">
        <v>9</v>
      </c>
      <c r="B17" s="42"/>
      <c r="C17" s="46" t="s">
        <v>10</v>
      </c>
      <c r="D17" s="47"/>
    </row>
    <row r="18" spans="1:10" x14ac:dyDescent="0.25">
      <c r="A18" s="41" t="s">
        <v>11</v>
      </c>
      <c r="B18" s="42"/>
      <c r="C18" s="48">
        <v>100</v>
      </c>
      <c r="D18" s="49"/>
      <c r="H18" s="37"/>
      <c r="J18" s="37"/>
    </row>
    <row r="19" spans="1:10" ht="15" customHeight="1" x14ac:dyDescent="0.25">
      <c r="A19" s="50" t="s">
        <v>12</v>
      </c>
      <c r="B19" s="51"/>
      <c r="C19" s="52" t="s">
        <v>13</v>
      </c>
      <c r="D19" s="53"/>
      <c r="H19" s="37"/>
      <c r="J19" s="37"/>
    </row>
    <row r="20" spans="1:10" x14ac:dyDescent="0.25">
      <c r="A20" s="54" t="s">
        <v>14</v>
      </c>
      <c r="B20" s="55"/>
      <c r="C20" s="56" t="s">
        <v>15</v>
      </c>
      <c r="D20" s="57"/>
      <c r="F20" s="58"/>
    </row>
    <row r="21" spans="1:10" x14ac:dyDescent="0.25">
      <c r="A21" s="54" t="s">
        <v>16</v>
      </c>
      <c r="B21" s="55"/>
      <c r="C21" s="59" t="s">
        <v>17</v>
      </c>
      <c r="D21" s="60"/>
    </row>
    <row r="22" spans="1:10" x14ac:dyDescent="0.25">
      <c r="A22" s="54" t="s">
        <v>18</v>
      </c>
      <c r="B22" s="55"/>
      <c r="C22" s="35">
        <v>46257</v>
      </c>
      <c r="D22" s="36"/>
      <c r="I22" s="61"/>
    </row>
    <row r="23" spans="1:10" x14ac:dyDescent="0.25">
      <c r="A23" s="54" t="s">
        <v>19</v>
      </c>
      <c r="B23" s="55"/>
      <c r="C23" s="62">
        <v>0.13700000000000001</v>
      </c>
      <c r="D23" s="63"/>
    </row>
    <row r="24" spans="1:10" x14ac:dyDescent="0.25">
      <c r="A24" s="54" t="s">
        <v>20</v>
      </c>
      <c r="B24" s="55"/>
      <c r="C24" s="64">
        <f>C16-C22</f>
        <v>-3</v>
      </c>
      <c r="D24" s="65"/>
    </row>
    <row r="25" spans="1:10" x14ac:dyDescent="0.25">
      <c r="A25" s="54" t="s">
        <v>21</v>
      </c>
      <c r="B25" s="55"/>
      <c r="C25" s="64">
        <v>11</v>
      </c>
      <c r="D25" s="65"/>
    </row>
    <row r="26" spans="1:10" x14ac:dyDescent="0.25">
      <c r="A26" s="54" t="s">
        <v>22</v>
      </c>
      <c r="B26" s="55"/>
      <c r="C26" s="66">
        <f>100000*C25</f>
        <v>1100000</v>
      </c>
      <c r="D26" s="67"/>
    </row>
    <row r="27" spans="1:10" x14ac:dyDescent="0.25">
      <c r="A27" s="68" t="s">
        <v>23</v>
      </c>
      <c r="B27" s="69"/>
      <c r="C27" s="70">
        <f>C26*C18/100</f>
        <v>1100000</v>
      </c>
      <c r="D27" s="71"/>
    </row>
    <row r="28" spans="1:10" x14ac:dyDescent="0.25">
      <c r="A28" s="68" t="s">
        <v>24</v>
      </c>
      <c r="B28" s="69"/>
      <c r="C28" s="72">
        <f>C26*C23*C24/365-0.38</f>
        <v>-1239.0101369863014</v>
      </c>
      <c r="D28" s="73"/>
    </row>
    <row r="29" spans="1:10" ht="17.25" x14ac:dyDescent="0.4">
      <c r="A29" s="68" t="s">
        <v>25</v>
      </c>
      <c r="B29" s="69"/>
      <c r="C29" s="74">
        <v>1</v>
      </c>
      <c r="D29" s="75"/>
      <c r="F29" s="76"/>
    </row>
    <row r="30" spans="1:10" ht="17.25" x14ac:dyDescent="0.4">
      <c r="A30" s="68" t="s">
        <v>26</v>
      </c>
      <c r="B30" s="69"/>
      <c r="C30" s="74">
        <f>C27+C28+C29</f>
        <v>1098761.9898630136</v>
      </c>
      <c r="D30" s="75"/>
    </row>
    <row r="31" spans="1:10" x14ac:dyDescent="0.25">
      <c r="A31" s="77" t="s">
        <v>27</v>
      </c>
      <c r="B31" s="78" t="s">
        <v>28</v>
      </c>
      <c r="C31" s="79" t="s">
        <v>29</v>
      </c>
      <c r="D31" s="80"/>
    </row>
    <row r="32" spans="1:10" x14ac:dyDescent="0.25">
      <c r="A32" s="77" t="s">
        <v>30</v>
      </c>
      <c r="B32" s="81" t="s">
        <v>31</v>
      </c>
      <c r="C32" s="82" t="s">
        <v>32</v>
      </c>
      <c r="D32" s="80" t="s">
        <v>33</v>
      </c>
    </row>
    <row r="33" spans="1:4" x14ac:dyDescent="0.25">
      <c r="A33" s="83" t="s">
        <v>34</v>
      </c>
      <c r="B33" s="84" t="s">
        <v>35</v>
      </c>
      <c r="C33" s="85" t="s">
        <v>36</v>
      </c>
      <c r="D33" s="86" t="s">
        <v>35</v>
      </c>
    </row>
    <row r="34" spans="1:4" x14ac:dyDescent="0.25">
      <c r="A34" s="77" t="s">
        <v>37</v>
      </c>
      <c r="B34" s="87" t="s">
        <v>38</v>
      </c>
      <c r="C34" s="82" t="s">
        <v>39</v>
      </c>
      <c r="D34" s="88">
        <v>8715962</v>
      </c>
    </row>
    <row r="35" spans="1:4" x14ac:dyDescent="0.25">
      <c r="A35" s="77" t="s">
        <v>40</v>
      </c>
      <c r="B35" s="87">
        <v>2627096</v>
      </c>
      <c r="C35" s="82" t="s">
        <v>41</v>
      </c>
      <c r="D35" s="88" t="s">
        <v>42</v>
      </c>
    </row>
    <row r="36" spans="1:4" ht="84" customHeight="1" x14ac:dyDescent="0.25">
      <c r="A36" s="89" t="s">
        <v>43</v>
      </c>
      <c r="B36" s="90"/>
      <c r="C36" s="90"/>
      <c r="D36" s="91"/>
    </row>
    <row r="37" spans="1:4" ht="39" customHeight="1" x14ac:dyDescent="0.25">
      <c r="A37" s="92" t="s">
        <v>44</v>
      </c>
      <c r="B37" s="93"/>
      <c r="C37" s="93"/>
      <c r="D37" s="94"/>
    </row>
    <row r="38" spans="1:4" x14ac:dyDescent="0.25">
      <c r="A38" s="28" t="s">
        <v>45</v>
      </c>
      <c r="B38" s="29"/>
      <c r="C38" s="12"/>
      <c r="D38" s="13"/>
    </row>
    <row r="39" spans="1:4" x14ac:dyDescent="0.25">
      <c r="A39" s="95"/>
      <c r="B39" s="29"/>
      <c r="C39" s="12"/>
      <c r="D39" s="13"/>
    </row>
    <row r="40" spans="1:4" x14ac:dyDescent="0.25">
      <c r="A40" s="95"/>
      <c r="B40" s="12"/>
      <c r="C40" s="96">
        <f>A7</f>
        <v>0</v>
      </c>
      <c r="D40" s="97"/>
    </row>
    <row r="41" spans="1:4" x14ac:dyDescent="0.25">
      <c r="A41" s="14" t="s">
        <v>46</v>
      </c>
      <c r="B41" s="12"/>
      <c r="C41" s="15" t="s">
        <v>46</v>
      </c>
      <c r="D41" s="13"/>
    </row>
    <row r="42" spans="1:4" x14ac:dyDescent="0.25">
      <c r="A42" s="14"/>
      <c r="B42" s="12"/>
      <c r="C42" s="15"/>
      <c r="D42" s="13"/>
    </row>
    <row r="43" spans="1:4" ht="17.25" customHeight="1" x14ac:dyDescent="0.25">
      <c r="A43" s="14"/>
      <c r="B43" s="12"/>
      <c r="C43" s="15"/>
      <c r="D43" s="13"/>
    </row>
    <row r="44" spans="1:4" ht="15.75" thickBot="1" x14ac:dyDescent="0.3">
      <c r="A44" s="98"/>
      <c r="B44" s="99"/>
      <c r="C44" s="100"/>
      <c r="D44" s="101"/>
    </row>
    <row r="45" spans="1:4" x14ac:dyDescent="0.25">
      <c r="A45" s="12"/>
      <c r="B45" s="12"/>
      <c r="C45" s="12"/>
      <c r="D45" s="12"/>
    </row>
  </sheetData>
  <mergeCells count="42">
    <mergeCell ref="A36:D36"/>
    <mergeCell ref="A37:D37"/>
    <mergeCell ref="A39:A40"/>
    <mergeCell ref="C40:D40"/>
    <mergeCell ref="A28:B28"/>
    <mergeCell ref="C28:D28"/>
    <mergeCell ref="A29:B29"/>
    <mergeCell ref="C29:D29"/>
    <mergeCell ref="A30:B30"/>
    <mergeCell ref="C30:D30"/>
    <mergeCell ref="A25:B25"/>
    <mergeCell ref="C25:D25"/>
    <mergeCell ref="A26:B26"/>
    <mergeCell ref="C26:D26"/>
    <mergeCell ref="A27:B27"/>
    <mergeCell ref="C27:D27"/>
    <mergeCell ref="A22:B22"/>
    <mergeCell ref="C22:D22"/>
    <mergeCell ref="A23:B23"/>
    <mergeCell ref="C23:D23"/>
    <mergeCell ref="A24:B24"/>
    <mergeCell ref="C24:D24"/>
    <mergeCell ref="A19:B19"/>
    <mergeCell ref="C19:D19"/>
    <mergeCell ref="A20:B20"/>
    <mergeCell ref="C20:D20"/>
    <mergeCell ref="A21:B21"/>
    <mergeCell ref="C21:D21"/>
    <mergeCell ref="A15:B15"/>
    <mergeCell ref="C15:D15"/>
    <mergeCell ref="A16:B16"/>
    <mergeCell ref="C16:D16"/>
    <mergeCell ref="A17:B17"/>
    <mergeCell ref="A18:B18"/>
    <mergeCell ref="C18:D18"/>
    <mergeCell ref="A1:D3"/>
    <mergeCell ref="A7:D7"/>
    <mergeCell ref="A8:D8"/>
    <mergeCell ref="A13:B13"/>
    <mergeCell ref="C13:D13"/>
    <mergeCell ref="A14:B14"/>
    <mergeCell ref="C14:D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9827-395E-433A-8AE3-238B8C682EE8}">
  <dimension ref="A1:J46"/>
  <sheetViews>
    <sheetView tabSelected="1" workbookViewId="0">
      <selection activeCell="H21" sqref="H21"/>
    </sheetView>
  </sheetViews>
  <sheetFormatPr defaultColWidth="9" defaultRowHeight="15" x14ac:dyDescent="0.25"/>
  <cols>
    <col min="1" max="1" width="18.85546875" customWidth="1"/>
    <col min="2" max="2" width="28.5703125" customWidth="1"/>
    <col min="3" max="3" width="24.28515625" customWidth="1"/>
    <col min="4" max="4" width="26.5703125" customWidth="1"/>
    <col min="6" max="6" width="13.140625" customWidth="1"/>
    <col min="8" max="8" width="6.140625" customWidth="1"/>
    <col min="9" max="9" width="13.42578125" customWidth="1"/>
  </cols>
  <sheetData>
    <row r="1" spans="1:9" ht="18" customHeight="1" x14ac:dyDescent="0.25">
      <c r="A1" s="1"/>
      <c r="B1" s="2"/>
      <c r="C1" s="2"/>
      <c r="D1" s="3"/>
    </row>
    <row r="2" spans="1:9" ht="15.75" customHeight="1" x14ac:dyDescent="0.25">
      <c r="A2" s="4"/>
      <c r="B2" s="5"/>
      <c r="C2" s="5"/>
      <c r="D2" s="6"/>
    </row>
    <row r="3" spans="1:9" ht="15.75" thickBot="1" x14ac:dyDescent="0.3">
      <c r="A3" s="7"/>
      <c r="B3" s="8"/>
      <c r="C3" s="8"/>
      <c r="D3" s="9"/>
    </row>
    <row r="4" spans="1:9" x14ac:dyDescent="0.25">
      <c r="A4" s="10">
        <v>46254</v>
      </c>
      <c r="B4" s="11"/>
      <c r="C4" s="12"/>
      <c r="D4" s="13"/>
    </row>
    <row r="5" spans="1:9" x14ac:dyDescent="0.25">
      <c r="A5" s="14" t="s">
        <v>47</v>
      </c>
      <c r="B5" s="15"/>
      <c r="C5" s="12"/>
      <c r="D5" s="13"/>
    </row>
    <row r="6" spans="1:9" ht="17.25" customHeight="1" x14ac:dyDescent="0.25">
      <c r="A6" s="14"/>
      <c r="B6" s="15"/>
      <c r="C6" s="12"/>
      <c r="D6" s="13"/>
    </row>
    <row r="7" spans="1:9" ht="18.75" x14ac:dyDescent="0.25">
      <c r="A7" s="102"/>
      <c r="B7" s="103"/>
      <c r="C7" s="103"/>
      <c r="D7" s="104"/>
    </row>
    <row r="8" spans="1:9" ht="18" customHeight="1" x14ac:dyDescent="0.25">
      <c r="A8" s="105"/>
      <c r="B8" s="106"/>
      <c r="C8" s="106"/>
      <c r="D8" s="107"/>
    </row>
    <row r="9" spans="1:9" ht="17.25" customHeight="1" x14ac:dyDescent="0.25">
      <c r="A9" s="108"/>
      <c r="B9" s="109"/>
      <c r="C9" s="109"/>
      <c r="D9" s="110"/>
    </row>
    <row r="10" spans="1:9" x14ac:dyDescent="0.25">
      <c r="A10" s="28" t="s">
        <v>1</v>
      </c>
      <c r="B10" s="29"/>
      <c r="C10" s="12"/>
      <c r="D10" s="13"/>
    </row>
    <row r="11" spans="1:9" x14ac:dyDescent="0.25">
      <c r="A11" s="28" t="s">
        <v>2</v>
      </c>
      <c r="B11" s="29"/>
      <c r="C11" s="12"/>
      <c r="D11" s="13"/>
    </row>
    <row r="12" spans="1:9" x14ac:dyDescent="0.25">
      <c r="A12" s="30" t="s">
        <v>3</v>
      </c>
      <c r="B12" s="31"/>
      <c r="C12" s="32" t="s">
        <v>4</v>
      </c>
      <c r="D12" s="33"/>
      <c r="G12" s="34"/>
      <c r="I12" s="111"/>
    </row>
    <row r="13" spans="1:9" x14ac:dyDescent="0.25">
      <c r="A13" s="30" t="s">
        <v>5</v>
      </c>
      <c r="B13" s="31"/>
      <c r="C13" s="35" t="s">
        <v>48</v>
      </c>
      <c r="D13" s="36"/>
      <c r="G13" s="37"/>
      <c r="I13" s="111"/>
    </row>
    <row r="14" spans="1:9" x14ac:dyDescent="0.25">
      <c r="A14" s="30" t="s">
        <v>7</v>
      </c>
      <c r="B14" s="31"/>
      <c r="C14" s="38">
        <v>46254</v>
      </c>
      <c r="D14" s="39"/>
      <c r="I14" s="111"/>
    </row>
    <row r="15" spans="1:9" x14ac:dyDescent="0.25">
      <c r="A15" s="41" t="s">
        <v>49</v>
      </c>
      <c r="B15" s="42"/>
      <c r="C15" s="43">
        <v>46254</v>
      </c>
      <c r="D15" s="44"/>
      <c r="F15" s="112"/>
      <c r="I15" s="111"/>
    </row>
    <row r="16" spans="1:9" x14ac:dyDescent="0.25">
      <c r="A16" s="41" t="s">
        <v>9</v>
      </c>
      <c r="B16" s="42"/>
      <c r="C16" s="113" t="s">
        <v>50</v>
      </c>
      <c r="D16" s="114"/>
      <c r="I16" s="111"/>
    </row>
    <row r="17" spans="1:10" ht="13.5" customHeight="1" x14ac:dyDescent="0.25">
      <c r="A17" s="41" t="s">
        <v>11</v>
      </c>
      <c r="B17" s="42"/>
      <c r="C17" s="115">
        <v>100</v>
      </c>
      <c r="D17" s="116"/>
      <c r="F17" s="117"/>
      <c r="G17" s="117"/>
      <c r="H17" s="118"/>
      <c r="I17" s="111"/>
    </row>
    <row r="18" spans="1:10" ht="15" customHeight="1" x14ac:dyDescent="0.25">
      <c r="A18" s="50" t="s">
        <v>12</v>
      </c>
      <c r="B18" s="51"/>
      <c r="C18" s="52" t="s">
        <v>51</v>
      </c>
      <c r="D18" s="53"/>
      <c r="H18" s="37"/>
      <c r="I18" s="111"/>
      <c r="J18" s="40"/>
    </row>
    <row r="19" spans="1:10" x14ac:dyDescent="0.25">
      <c r="A19" s="54" t="s">
        <v>14</v>
      </c>
      <c r="B19" s="55"/>
      <c r="C19" s="119">
        <v>59699</v>
      </c>
      <c r="D19" s="120"/>
      <c r="F19" s="58"/>
      <c r="I19" s="111"/>
    </row>
    <row r="20" spans="1:10" x14ac:dyDescent="0.25">
      <c r="A20" s="54" t="s">
        <v>52</v>
      </c>
      <c r="B20" s="55"/>
      <c r="C20" s="121" t="s">
        <v>53</v>
      </c>
      <c r="D20" s="122"/>
      <c r="I20" s="111"/>
    </row>
    <row r="21" spans="1:10" x14ac:dyDescent="0.25">
      <c r="A21" s="54" t="s">
        <v>54</v>
      </c>
      <c r="B21" s="55"/>
      <c r="C21" s="35">
        <v>46185</v>
      </c>
      <c r="D21" s="36"/>
      <c r="I21" s="111"/>
    </row>
    <row r="22" spans="1:10" x14ac:dyDescent="0.25">
      <c r="A22" s="54" t="s">
        <v>55</v>
      </c>
      <c r="B22" s="55"/>
      <c r="C22" s="62">
        <v>7.2499999999999995E-2</v>
      </c>
      <c r="D22" s="63"/>
      <c r="I22" s="111"/>
    </row>
    <row r="23" spans="1:10" x14ac:dyDescent="0.25">
      <c r="A23" s="54" t="s">
        <v>56</v>
      </c>
      <c r="B23" s="55"/>
      <c r="C23" s="64">
        <f>COUPDAYBS(C15,C19,2,4)</f>
        <v>68</v>
      </c>
      <c r="D23" s="65"/>
      <c r="I23" s="111"/>
    </row>
    <row r="24" spans="1:10" x14ac:dyDescent="0.25">
      <c r="A24" s="54" t="s">
        <v>57</v>
      </c>
      <c r="B24" s="55"/>
      <c r="C24" s="64">
        <v>25000</v>
      </c>
      <c r="D24" s="65"/>
      <c r="I24" s="111"/>
    </row>
    <row r="25" spans="1:10" x14ac:dyDescent="0.25">
      <c r="A25" s="54" t="s">
        <v>58</v>
      </c>
      <c r="B25" s="55"/>
      <c r="C25" s="66">
        <f>100*C24</f>
        <v>2500000</v>
      </c>
      <c r="D25" s="67"/>
      <c r="I25" s="111"/>
    </row>
    <row r="26" spans="1:10" x14ac:dyDescent="0.25">
      <c r="A26" s="68" t="s">
        <v>59</v>
      </c>
      <c r="B26" s="69"/>
      <c r="C26" s="70">
        <f>C25*C17/100</f>
        <v>2500000</v>
      </c>
      <c r="D26" s="71"/>
      <c r="I26" s="111"/>
    </row>
    <row r="27" spans="1:10" x14ac:dyDescent="0.25">
      <c r="A27" s="68" t="s">
        <v>60</v>
      </c>
      <c r="B27" s="69"/>
      <c r="C27" s="72">
        <f>C25*C22*C23/360</f>
        <v>34236.111111111109</v>
      </c>
      <c r="D27" s="73"/>
      <c r="I27" s="111"/>
    </row>
    <row r="28" spans="1:10" ht="17.25" x14ac:dyDescent="0.4">
      <c r="A28" s="68" t="s">
        <v>61</v>
      </c>
      <c r="B28" s="69"/>
      <c r="C28" s="74">
        <f>C26+C27</f>
        <v>2534236.111111111</v>
      </c>
      <c r="D28" s="75"/>
      <c r="I28" s="111"/>
    </row>
    <row r="29" spans="1:10" ht="17.25" x14ac:dyDescent="0.4">
      <c r="A29" s="123" t="s">
        <v>62</v>
      </c>
      <c r="B29" s="124"/>
      <c r="C29" s="125">
        <v>0</v>
      </c>
      <c r="D29" s="126"/>
      <c r="I29" s="111"/>
    </row>
    <row r="30" spans="1:10" ht="17.25" x14ac:dyDescent="0.4">
      <c r="A30" s="123" t="s">
        <v>63</v>
      </c>
      <c r="B30" s="124"/>
      <c r="C30" s="125">
        <f>C28-C29</f>
        <v>2534236.111111111</v>
      </c>
      <c r="D30" s="126"/>
      <c r="I30" s="111"/>
    </row>
    <row r="31" spans="1:10" x14ac:dyDescent="0.25">
      <c r="A31" s="68" t="s">
        <v>64</v>
      </c>
      <c r="B31" s="69"/>
      <c r="C31" s="127" t="s">
        <v>65</v>
      </c>
      <c r="D31" s="128"/>
    </row>
    <row r="32" spans="1:10" x14ac:dyDescent="0.25">
      <c r="A32" s="77" t="s">
        <v>27</v>
      </c>
      <c r="B32" s="78" t="s">
        <v>28</v>
      </c>
      <c r="C32" s="129" t="s">
        <v>29</v>
      </c>
      <c r="D32" s="130"/>
      <c r="I32" s="111"/>
    </row>
    <row r="33" spans="1:9" ht="22.5" x14ac:dyDescent="0.25">
      <c r="A33" s="131" t="s">
        <v>66</v>
      </c>
      <c r="B33" s="132" t="s">
        <v>67</v>
      </c>
      <c r="C33" s="133" t="s">
        <v>68</v>
      </c>
      <c r="D33" s="134"/>
      <c r="I33" s="111"/>
    </row>
    <row r="34" spans="1:9" ht="13.5" customHeight="1" x14ac:dyDescent="0.25">
      <c r="A34" s="77" t="s">
        <v>69</v>
      </c>
      <c r="B34" s="81" t="s">
        <v>70</v>
      </c>
      <c r="C34" s="133" t="s">
        <v>71</v>
      </c>
      <c r="D34" s="135"/>
      <c r="I34" s="111"/>
    </row>
    <row r="35" spans="1:9" ht="14.25" customHeight="1" x14ac:dyDescent="0.25">
      <c r="A35" s="77" t="s">
        <v>32</v>
      </c>
      <c r="B35" s="81" t="s">
        <v>72</v>
      </c>
      <c r="C35" s="133" t="s">
        <v>73</v>
      </c>
      <c r="D35" s="135"/>
      <c r="I35" s="111"/>
    </row>
    <row r="36" spans="1:9" x14ac:dyDescent="0.25">
      <c r="A36" s="77" t="s">
        <v>39</v>
      </c>
      <c r="B36" s="136" t="s">
        <v>74</v>
      </c>
      <c r="C36" s="137"/>
      <c r="D36" s="138"/>
      <c r="I36" s="111"/>
    </row>
    <row r="37" spans="1:9" ht="83.25" customHeight="1" x14ac:dyDescent="0.25">
      <c r="A37" s="89" t="s">
        <v>43</v>
      </c>
      <c r="B37" s="90"/>
      <c r="C37" s="90"/>
      <c r="D37" s="91"/>
      <c r="I37" s="111"/>
    </row>
    <row r="38" spans="1:9" ht="34.5" customHeight="1" x14ac:dyDescent="0.25">
      <c r="A38" s="92" t="s">
        <v>44</v>
      </c>
      <c r="B38" s="93"/>
      <c r="C38" s="93"/>
      <c r="D38" s="94"/>
      <c r="I38" s="111"/>
    </row>
    <row r="39" spans="1:9" x14ac:dyDescent="0.25">
      <c r="A39" s="28" t="s">
        <v>45</v>
      </c>
      <c r="B39" s="29"/>
      <c r="C39" s="12"/>
      <c r="D39" s="13"/>
      <c r="I39" s="111"/>
    </row>
    <row r="40" spans="1:9" x14ac:dyDescent="0.25">
      <c r="A40" s="95"/>
      <c r="B40" s="29"/>
      <c r="C40" s="12"/>
      <c r="D40" s="13"/>
      <c r="I40" s="111"/>
    </row>
    <row r="41" spans="1:9" x14ac:dyDescent="0.25">
      <c r="A41" s="95"/>
      <c r="B41" s="12"/>
      <c r="C41" s="96">
        <f>A7</f>
        <v>0</v>
      </c>
      <c r="D41" s="97"/>
      <c r="I41" s="111"/>
    </row>
    <row r="42" spans="1:9" x14ac:dyDescent="0.25">
      <c r="A42" s="14" t="s">
        <v>46</v>
      </c>
      <c r="B42" s="12"/>
      <c r="C42" s="15" t="s">
        <v>46</v>
      </c>
      <c r="D42" s="13"/>
      <c r="I42" s="111"/>
    </row>
    <row r="43" spans="1:9" x14ac:dyDescent="0.25">
      <c r="A43" s="14"/>
      <c r="B43" s="12"/>
      <c r="C43" s="15"/>
      <c r="D43" s="13"/>
      <c r="I43" s="111"/>
    </row>
    <row r="44" spans="1:9" x14ac:dyDescent="0.25">
      <c r="A44" s="14"/>
      <c r="B44" s="12"/>
      <c r="C44" s="15"/>
      <c r="D44" s="13"/>
    </row>
    <row r="45" spans="1:9" ht="15.75" thickBot="1" x14ac:dyDescent="0.3">
      <c r="A45" s="98"/>
      <c r="B45" s="99"/>
      <c r="C45" s="100"/>
      <c r="D45" s="101"/>
    </row>
    <row r="46" spans="1:9" x14ac:dyDescent="0.25">
      <c r="A46" s="12"/>
      <c r="B46" s="12"/>
      <c r="C46" s="12"/>
      <c r="D46" s="12"/>
    </row>
  </sheetData>
  <mergeCells count="47">
    <mergeCell ref="A37:D37"/>
    <mergeCell ref="A38:D38"/>
    <mergeCell ref="A40:A41"/>
    <mergeCell ref="C41:D41"/>
    <mergeCell ref="A29:B29"/>
    <mergeCell ref="C29:D29"/>
    <mergeCell ref="A30:B30"/>
    <mergeCell ref="C30:D30"/>
    <mergeCell ref="A31:B31"/>
    <mergeCell ref="C31:D31"/>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private paper </vt:lpstr>
      <vt:lpstr>gsec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VERMA</dc:creator>
  <cp:lastModifiedBy>MAHESH VERMA</cp:lastModifiedBy>
  <dcterms:created xsi:type="dcterms:W3CDTF">2015-06-05T18:17:20Z</dcterms:created>
  <dcterms:modified xsi:type="dcterms:W3CDTF">2026-08-20T09:51:06Z</dcterms:modified>
</cp:coreProperties>
</file>