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clickforbonds\click4bonds-backend\src\main\resources\deal_confirmation\"/>
    </mc:Choice>
  </mc:AlternateContent>
  <xr:revisionPtr revIDLastSave="0" documentId="13_ncr:1_{0E88D93E-EC3A-4784-9FED-10DF6236FE68}" xr6:coauthVersionLast="47" xr6:coauthVersionMax="47" xr10:uidLastSave="{00000000-0000-0000-0000-000000000000}"/>
  <bookViews>
    <workbookView xWindow="-120" yWindow="-120" windowWidth="29040" windowHeight="15720" activeTab="4" xr2:uid="{00000000-000D-0000-FFFF-FFFF00000000}"/>
  </bookViews>
  <sheets>
    <sheet name="Off market Sale " sheetId="3" r:id="rId1"/>
    <sheet name="PSU Private Sale " sheetId="1" r:id="rId2"/>
    <sheet name="Psu Private Purchase " sheetId="2" r:id="rId3"/>
    <sheet name="Off Market Purchase" sheetId="4" r:id="rId4"/>
    <sheet name="gsec paper"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1" i="6" l="1"/>
  <c r="C25" i="6"/>
  <c r="C27" i="6" s="1"/>
  <c r="C23" i="6"/>
  <c r="C26" i="6" l="1"/>
  <c r="C28" i="6" s="1"/>
  <c r="C29" i="6" l="1"/>
  <c r="C30" i="6" s="1"/>
  <c r="C38" i="4" l="1"/>
  <c r="C25" i="4"/>
  <c r="C26" i="4" s="1"/>
  <c r="C23" i="4"/>
  <c r="C27" i="4" s="1"/>
  <c r="C41" i="3"/>
  <c r="C26" i="3"/>
  <c r="C25" i="3"/>
  <c r="C23" i="3"/>
  <c r="C27" i="1"/>
  <c r="C25" i="2"/>
  <c r="C37" i="2"/>
  <c r="C23" i="2"/>
  <c r="C39" i="1"/>
  <c r="C25" i="1"/>
  <c r="C23" i="1"/>
  <c r="C28" i="4" l="1"/>
  <c r="C30" i="4" s="1"/>
  <c r="C27" i="3"/>
  <c r="C28" i="3" s="1"/>
  <c r="C30" i="3" s="1"/>
  <c r="C27" i="2"/>
  <c r="C26" i="2"/>
  <c r="C26" i="1"/>
  <c r="C29" i="1" s="1"/>
  <c r="C29" i="2" l="1"/>
</calcChain>
</file>

<file path=xl/sharedStrings.xml><?xml version="1.0" encoding="utf-8"?>
<sst xmlns="http://schemas.openxmlformats.org/spreadsheetml/2006/main" count="240" uniqueCount="99">
  <si>
    <t>2026/S/SEP/121</t>
  </si>
  <si>
    <t>Dear Sir,</t>
  </si>
  <si>
    <t>We hereby confirm the following transaction:</t>
  </si>
  <si>
    <t>Type of Transaction</t>
  </si>
  <si>
    <t>Our Sale</t>
  </si>
  <si>
    <t>Mode of delivery</t>
  </si>
  <si>
    <t>ICCL</t>
  </si>
  <si>
    <t>Deal Date</t>
  </si>
  <si>
    <t>Value Date</t>
  </si>
  <si>
    <t>ISIN No.</t>
  </si>
  <si>
    <t>INE926R07027</t>
  </si>
  <si>
    <t>Price</t>
  </si>
  <si>
    <t>Security Name</t>
  </si>
  <si>
    <t>13.00% Unifinz Capital India Ltd 2028</t>
  </si>
  <si>
    <t>Maturty  Date</t>
  </si>
  <si>
    <t>Interest Payament Date</t>
  </si>
  <si>
    <t>01st  Of Every Month</t>
  </si>
  <si>
    <t>Last  Interest Payment  Date</t>
  </si>
  <si>
    <t>Coupon Rate</t>
  </si>
  <si>
    <t>No. of Accrued Days</t>
  </si>
  <si>
    <t>No of Bonds</t>
  </si>
  <si>
    <t>Quantum</t>
  </si>
  <si>
    <t>Principal Amount</t>
  </si>
  <si>
    <t>Accrued  Interest</t>
  </si>
  <si>
    <t>Stamp Duty</t>
  </si>
  <si>
    <t>Total Consideration</t>
  </si>
  <si>
    <t>Our PAN</t>
  </si>
  <si>
    <t>AAHCA7743E</t>
  </si>
  <si>
    <t>Your PAN</t>
  </si>
  <si>
    <t>CM-BP-Id</t>
  </si>
  <si>
    <t>IN619994</t>
  </si>
  <si>
    <t>IFSC Code</t>
  </si>
  <si>
    <t>ICLL0000001</t>
  </si>
  <si>
    <t>CM Name</t>
  </si>
  <si>
    <t>Indian Clearing Corporation Ltd</t>
  </si>
  <si>
    <t>Beneficiary Name</t>
  </si>
  <si>
    <t>Market Type</t>
  </si>
  <si>
    <t>ICDM(T+0)</t>
  </si>
  <si>
    <t>Account No.</t>
  </si>
  <si>
    <t>Settlement NO.</t>
  </si>
  <si>
    <t>Banker</t>
  </si>
  <si>
    <t>ICCL Or RBI</t>
  </si>
  <si>
    <t>The Above Deal/transaction has been done by us at your own free will and consent and ALL TIME SECURITIES PVT LTD and/or its empoyees have not induced me/us to deal or transaction  Before making investment /subscribing to said securities , you have read all the related transaction documents including  offer document ,instrument description ,term sheet ,security features,statutory filings,issur information , rating letter(s) rating rationale (s) ets. You also fully understand the various risks associated with investing /Subscribing to said securities including but not limited to credit risk , market Risk ,default risk,Liquidity Risk,  interest rate risk ,Reinvestment Risk etc associated with trading in corporate bonds ,preference share and other fixed income securities ALL TIME SECURITIES PVT LTD  will not be responsible for any default of payment of interest &amp; Principle Amount by the issuer. Please confirm the same by return  mail on alltimesec@gmail.com</t>
  </si>
  <si>
    <t>please note that in case we do not receive the copy of the deal confirmation signed by me/us in acceptance thereof within 3 days from the date of deal settled by me/us nor do we receive any written communication raising any objection or query, it will be deemed that you have accepted the confirmation on all respect.</t>
  </si>
  <si>
    <t>for All Time Securities Pvt. Ltd.                             We Confirm the transaction as specified above</t>
  </si>
  <si>
    <t>Authorised Signatory</t>
  </si>
  <si>
    <t>Counterparty Name-</t>
  </si>
  <si>
    <t>ADD.</t>
  </si>
  <si>
    <t>Our Purchase</t>
  </si>
  <si>
    <t>Maturity Date</t>
  </si>
  <si>
    <t>Interest Payment  Date</t>
  </si>
  <si>
    <t>No. Of Accrued Days</t>
  </si>
  <si>
    <t xml:space="preserve">Total Bonds </t>
  </si>
  <si>
    <t xml:space="preserve">Quantum </t>
  </si>
  <si>
    <t xml:space="preserve">Principal Amount </t>
  </si>
  <si>
    <t xml:space="preserve">Stamp Duty </t>
  </si>
  <si>
    <t>ADD-</t>
  </si>
  <si>
    <t>2026/B/SEP/00</t>
  </si>
  <si>
    <t xml:space="preserve">1st  Of Every Month </t>
  </si>
  <si>
    <t xml:space="preserve">Demat </t>
  </si>
  <si>
    <t>IN3320260042</t>
  </si>
  <si>
    <t>7.82% UTTAR PRADESH SGS 2046</t>
  </si>
  <si>
    <t>10/06-10/12</t>
  </si>
  <si>
    <t xml:space="preserve">Consideration Amount </t>
  </si>
  <si>
    <t>Tds ( 0.10%)</t>
  </si>
  <si>
    <t xml:space="preserve">Total Consideration Amount </t>
  </si>
  <si>
    <t>Benificiary Name</t>
  </si>
  <si>
    <t>All Time Securities pvt. Ltd.</t>
  </si>
  <si>
    <t>Branch Location</t>
  </si>
  <si>
    <t>North Ex Mall Sec-9 Rohini, Delhi-110085</t>
  </si>
  <si>
    <t>Your Dp Name</t>
  </si>
  <si>
    <t>Our Bank Name</t>
  </si>
  <si>
    <t>HDFC Bank ltd</t>
  </si>
  <si>
    <t>DP ID</t>
  </si>
  <si>
    <t>HDFC0001347</t>
  </si>
  <si>
    <t>CLIENT ID</t>
  </si>
  <si>
    <t>13472320000772</t>
  </si>
  <si>
    <t>2026/S/SEP/00</t>
  </si>
  <si>
    <t>Demat</t>
  </si>
  <si>
    <t>IN0020200401</t>
  </si>
  <si>
    <t>6.76% GOI 2061</t>
  </si>
  <si>
    <t>Interest Payment Date</t>
  </si>
  <si>
    <t>22/02-22/08</t>
  </si>
  <si>
    <t>Last  Interest Payment  date</t>
  </si>
  <si>
    <t>Tds (0.1%)</t>
  </si>
  <si>
    <t>Total Consideration Amount After Tds.</t>
  </si>
  <si>
    <t>Our DP NAME</t>
  </si>
  <si>
    <t>SHRI PARASRAM HOLDINGS PVT.LTD</t>
  </si>
  <si>
    <t>Your Bank Branch Location</t>
  </si>
  <si>
    <t>Our DP ID</t>
  </si>
  <si>
    <t>IN302365</t>
  </si>
  <si>
    <t xml:space="preserve">Your Bank Name </t>
  </si>
  <si>
    <t>Our Client ID</t>
  </si>
  <si>
    <t>HDFC BANK LTD</t>
  </si>
  <si>
    <t>2026/S/OCT/01</t>
  </si>
  <si>
    <t>Name</t>
  </si>
  <si>
    <t>IN0020240035</t>
  </si>
  <si>
    <t>7.34% GOI 2064</t>
  </si>
  <si>
    <t>22/04-22/10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</si>
</sst>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
    <numFmt numFmtId="166" formatCode="0.0000"/>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
      <b/>
      <sz val="11"/>
      <color theme="1"/>
      <name val="Calibri"/>
      <family val="2"/>
    </font>
    <font>
      <b/>
      <sz val="14"/>
      <color theme="1"/>
      <name val="Book Antiqua"/>
      <family val="1"/>
    </font>
    <font>
      <b/>
      <sz val="8"/>
      <color theme="1"/>
      <name val="Book Antiqua"/>
      <family val="1"/>
    </font>
    <font>
      <b/>
      <sz val="11"/>
      <color indexed="8"/>
      <name val="Calibri"/>
      <family val="2"/>
    </font>
    <font>
      <b/>
      <sz val="11"/>
      <name val="Calibri"/>
      <family val="2"/>
      <scheme val="minor"/>
    </font>
    <font>
      <sz val="10"/>
      <color theme="1"/>
      <name val="Calibri"/>
      <family val="2"/>
      <scheme val="minor"/>
    </font>
    <font>
      <b/>
      <sz val="11"/>
      <color indexed="8"/>
      <name val="Calibri"/>
      <family val="2"/>
      <scheme val="minor"/>
    </font>
    <font>
      <b/>
      <sz val="10"/>
      <color theme="1"/>
      <name val="Calibri"/>
      <family val="2"/>
      <scheme val="minor"/>
    </font>
    <font>
      <b/>
      <sz val="9"/>
      <name val="Calibri"/>
      <family val="2"/>
      <scheme val="minor"/>
    </font>
    <font>
      <b/>
      <sz val="10"/>
      <name val="Calibri"/>
      <family val="2"/>
      <scheme val="minor"/>
    </font>
    <font>
      <b/>
      <sz val="9"/>
      <color theme="1"/>
      <name val="Calibri"/>
      <family val="2"/>
      <scheme val="minor"/>
    </font>
    <font>
      <sz val="8"/>
      <color theme="1"/>
      <name val="Calibri"/>
      <family val="2"/>
      <scheme val="minor"/>
    </font>
    <font>
      <b/>
      <sz val="12"/>
      <color theme="1"/>
      <name val="Book Antiqua"/>
      <family val="1"/>
    </font>
    <font>
      <b/>
      <u val="doubleAccounting"/>
      <sz val="11"/>
      <name val="Calibri"/>
      <family val="2"/>
    </font>
    <font>
      <b/>
      <sz val="8"/>
      <color theme="1"/>
      <name val="Calibri"/>
      <family val="2"/>
      <scheme val="minor"/>
    </font>
    <font>
      <b/>
      <u/>
      <sz val="11"/>
      <color indexed="8"/>
      <name val="Calibri"/>
      <family val="2"/>
    </font>
    <font>
      <b/>
      <sz val="9"/>
      <color theme="1"/>
      <name val="Book Antiqua"/>
      <family val="1"/>
    </font>
  </fonts>
  <fills count="4">
    <fill>
      <patternFill patternType="none"/>
    </fill>
    <fill>
      <patternFill patternType="gray125"/>
    </fill>
    <fill>
      <patternFill patternType="solid">
        <fgColor indexed="9"/>
        <bgColor indexed="9"/>
      </patternFill>
    </fill>
    <fill>
      <patternFill patternType="solid">
        <fgColor indexed="9"/>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auto="1"/>
      </top>
      <bottom/>
      <diagonal/>
    </border>
    <border>
      <left/>
      <right/>
      <top style="thin">
        <color auto="1"/>
      </top>
      <bottom/>
      <diagonal/>
    </border>
    <border>
      <left/>
      <right style="medium">
        <color indexed="64"/>
      </right>
      <top style="thin">
        <color auto="1"/>
      </top>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4">
    <xf numFmtId="0" fontId="0" fillId="0" borderId="0" xfId="0"/>
    <xf numFmtId="0" fontId="0" fillId="0" borderId="0" xfId="0" applyAlignment="1">
      <alignment horizontal="center"/>
    </xf>
    <xf numFmtId="15" fontId="3" fillId="0" borderId="4" xfId="0" applyNumberFormat="1" applyFont="1" applyBorder="1" applyAlignment="1">
      <alignment horizontal="left"/>
    </xf>
    <xf numFmtId="15" fontId="3" fillId="0" borderId="0" xfId="0" applyNumberFormat="1" applyFont="1" applyAlignment="1">
      <alignment horizontal="left"/>
    </xf>
    <xf numFmtId="0" fontId="4" fillId="0" borderId="0" xfId="0" applyFont="1"/>
    <xf numFmtId="0" fontId="4" fillId="0" borderId="5" xfId="0" applyFont="1" applyBorder="1"/>
    <xf numFmtId="0" fontId="3" fillId="0" borderId="4" xfId="0" applyFont="1" applyBorder="1" applyAlignment="1">
      <alignment horizontal="left"/>
    </xf>
    <xf numFmtId="0" fontId="3" fillId="0" borderId="0" xfId="0" applyFont="1" applyAlignment="1">
      <alignment horizontal="left"/>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2" fontId="7" fillId="0" borderId="4" xfId="0" applyNumberFormat="1" applyFont="1" applyBorder="1" applyAlignment="1">
      <alignment horizontal="left"/>
    </xf>
    <xf numFmtId="0" fontId="3" fillId="0" borderId="0" xfId="0" applyFont="1"/>
    <xf numFmtId="16" fontId="0" fillId="0" borderId="0" xfId="0" applyNumberFormat="1"/>
    <xf numFmtId="14" fontId="0" fillId="0" borderId="0" xfId="0" applyNumberFormat="1"/>
    <xf numFmtId="2" fontId="0" fillId="0" borderId="0" xfId="0" applyNumberFormat="1"/>
    <xf numFmtId="10" fontId="0" fillId="0" borderId="0" xfId="1" applyNumberFormat="1" applyFont="1"/>
    <xf numFmtId="0" fontId="0" fillId="0" borderId="0" xfId="0" applyAlignment="1">
      <alignment horizontal="left"/>
    </xf>
    <xf numFmtId="0" fontId="9" fillId="0" borderId="0" xfId="0" applyFont="1"/>
    <xf numFmtId="0" fontId="2" fillId="0" borderId="9" xfId="0" applyFont="1" applyBorder="1"/>
    <xf numFmtId="2" fontId="10" fillId="0" borderId="10" xfId="0" applyNumberFormat="1" applyFont="1" applyBorder="1" applyAlignment="1">
      <alignment horizontal="left"/>
    </xf>
    <xf numFmtId="0" fontId="2" fillId="0" borderId="10" xfId="0" applyFont="1" applyBorder="1"/>
    <xf numFmtId="0" fontId="2" fillId="0" borderId="11" xfId="0" applyFont="1" applyBorder="1"/>
    <xf numFmtId="4" fontId="0" fillId="0" borderId="0" xfId="0" applyNumberFormat="1"/>
    <xf numFmtId="0" fontId="8" fillId="0" borderId="10" xfId="0" applyFont="1" applyBorder="1" applyAlignment="1">
      <alignment horizontal="left"/>
    </xf>
    <xf numFmtId="0" fontId="8" fillId="0" borderId="10" xfId="0" applyFont="1" applyBorder="1"/>
    <xf numFmtId="0" fontId="11" fillId="0" borderId="9" xfId="0" applyFont="1" applyBorder="1" applyAlignment="1">
      <alignment vertical="center"/>
    </xf>
    <xf numFmtId="0" fontId="12" fillId="0" borderId="10" xfId="0" applyFont="1" applyBorder="1" applyAlignment="1">
      <alignment horizontal="left" vertical="center" wrapText="1"/>
    </xf>
    <xf numFmtId="0" fontId="13" fillId="0" borderId="10" xfId="0" applyFont="1" applyBorder="1" applyAlignment="1">
      <alignment horizontal="left" vertical="center"/>
    </xf>
    <xf numFmtId="0" fontId="14" fillId="0" borderId="11" xfId="0" applyFont="1" applyBorder="1" applyAlignment="1">
      <alignment vertical="center" wrapText="1"/>
    </xf>
    <xf numFmtId="1" fontId="10" fillId="0" borderId="10" xfId="0" applyNumberFormat="1" applyFont="1" applyBorder="1" applyAlignment="1">
      <alignment horizontal="left"/>
    </xf>
    <xf numFmtId="0" fontId="2" fillId="0" borderId="11" xfId="0" applyFont="1" applyBorder="1" applyAlignment="1">
      <alignment horizontal="left"/>
    </xf>
    <xf numFmtId="165" fontId="0" fillId="0" borderId="0" xfId="0" applyNumberFormat="1"/>
    <xf numFmtId="0" fontId="4" fillId="0" borderId="6" xfId="0" applyFont="1" applyBorder="1"/>
    <xf numFmtId="0" fontId="0" fillId="0" borderId="7" xfId="0" applyBorder="1"/>
    <xf numFmtId="0" fontId="4" fillId="0" borderId="7" xfId="0" applyFont="1" applyBorder="1"/>
    <xf numFmtId="0" fontId="0" fillId="0" borderId="8" xfId="0" applyBorder="1"/>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11" fillId="0" borderId="9" xfId="0" applyFont="1" applyBorder="1"/>
    <xf numFmtId="0" fontId="13" fillId="0" borderId="10" xfId="0" applyFont="1" applyBorder="1" applyAlignment="1">
      <alignment horizontal="left" wrapText="1"/>
    </xf>
    <xf numFmtId="0" fontId="11" fillId="0" borderId="11" xfId="0" applyFont="1" applyBorder="1" applyAlignment="1">
      <alignment wrapText="1"/>
    </xf>
    <xf numFmtId="10" fontId="0" fillId="0" borderId="0" xfId="1" applyNumberFormat="1" applyFont="1" applyBorder="1"/>
    <xf numFmtId="14" fontId="0" fillId="0" borderId="0" xfId="0" applyNumberFormat="1" applyAlignment="1">
      <alignment wrapText="1"/>
    </xf>
    <xf numFmtId="0" fontId="2" fillId="0" borderId="10" xfId="0" applyFont="1" applyBorder="1" applyAlignment="1">
      <alignment vertical="center"/>
    </xf>
    <xf numFmtId="0" fontId="8" fillId="0" borderId="11" xfId="0" applyFont="1" applyBorder="1" applyAlignment="1">
      <alignment horizontal="left" vertical="center" wrapText="1"/>
    </xf>
    <xf numFmtId="0" fontId="2" fillId="0" borderId="9" xfId="0" applyFont="1" applyBorder="1" applyAlignment="1">
      <alignment horizontal="left" vertical="center"/>
    </xf>
    <xf numFmtId="0" fontId="8" fillId="0" borderId="10" xfId="0" applyFont="1" applyBorder="1" applyAlignment="1">
      <alignment vertical="center"/>
    </xf>
    <xf numFmtId="0" fontId="18" fillId="0" borderId="11" xfId="0" applyFont="1" applyBorder="1" applyAlignment="1">
      <alignment horizontal="left" vertical="center" wrapText="1"/>
    </xf>
    <xf numFmtId="0" fontId="2" fillId="0" borderId="11" xfId="0" quotePrefix="1" applyFont="1" applyBorder="1" applyAlignment="1">
      <alignment horizontal="left" vertical="center"/>
    </xf>
    <xf numFmtId="1" fontId="10" fillId="0" borderId="10" xfId="0" quotePrefix="1" applyNumberFormat="1" applyFont="1" applyBorder="1" applyAlignment="1">
      <alignment horizontal="left"/>
    </xf>
    <xf numFmtId="0" fontId="10" fillId="0" borderId="10" xfId="0" applyFont="1" applyBorder="1" applyAlignment="1">
      <alignment vertical="center"/>
    </xf>
    <xf numFmtId="1" fontId="10" fillId="0" borderId="11" xfId="0" quotePrefix="1" applyNumberFormat="1" applyFont="1" applyBorder="1" applyAlignment="1">
      <alignment horizontal="left" vertical="center"/>
    </xf>
    <xf numFmtId="166" fontId="0" fillId="0" borderId="0" xfId="0" applyNumberFormat="1"/>
    <xf numFmtId="0" fontId="8" fillId="0" borderId="9" xfId="0" applyFont="1" applyBorder="1" applyAlignment="1">
      <alignment vertical="center"/>
    </xf>
    <xf numFmtId="0" fontId="13" fillId="0" borderId="11" xfId="0" applyFont="1" applyBorder="1" applyAlignment="1">
      <alignment horizontal="left" vertical="center" wrapText="1"/>
    </xf>
    <xf numFmtId="0" fontId="8" fillId="0" borderId="9" xfId="0" applyFont="1" applyBorder="1"/>
    <xf numFmtId="0" fontId="13" fillId="0" borderId="11" xfId="0" applyFont="1" applyBorder="1"/>
    <xf numFmtId="0" fontId="8" fillId="0" borderId="10" xfId="0" quotePrefix="1" applyFont="1" applyBorder="1" applyAlignment="1">
      <alignment horizontal="left"/>
    </xf>
    <xf numFmtId="0" fontId="8" fillId="0" borderId="11" xfId="0" applyFont="1" applyBorder="1" applyAlignment="1">
      <alignment horizontal="left"/>
    </xf>
    <xf numFmtId="1" fontId="10" fillId="0" borderId="11" xfId="0" quotePrefix="1" applyNumberFormat="1" applyFont="1" applyBorder="1" applyAlignment="1">
      <alignment horizontal="left"/>
    </xf>
    <xf numFmtId="0" fontId="4" fillId="0" borderId="8" xfId="0" applyFont="1" applyBorder="1"/>
    <xf numFmtId="0" fontId="7" fillId="0" borderId="9" xfId="0" applyFont="1" applyBorder="1" applyAlignment="1">
      <alignment horizontal="left"/>
    </xf>
    <xf numFmtId="0" fontId="7" fillId="0" borderId="10" xfId="0" applyFont="1" applyBorder="1" applyAlignment="1">
      <alignment horizontal="left"/>
    </xf>
    <xf numFmtId="4" fontId="17" fillId="0" borderId="10" xfId="0" applyNumberFormat="1" applyFont="1" applyBorder="1" applyAlignment="1">
      <alignment horizontal="left"/>
    </xf>
    <xf numFmtId="4" fontId="17" fillId="0" borderId="11" xfId="0" applyNumberFormat="1" applyFont="1" applyBorder="1" applyAlignment="1">
      <alignment horizontal="left"/>
    </xf>
    <xf numFmtId="2" fontId="7" fillId="0" borderId="4" xfId="0" applyNumberFormat="1" applyFont="1" applyBorder="1" applyAlignment="1">
      <alignment horizontal="center"/>
    </xf>
    <xf numFmtId="0" fontId="4" fillId="0" borderId="0" xfId="0" applyFont="1" applyAlignment="1">
      <alignment horizontal="left" wrapText="1"/>
    </xf>
    <xf numFmtId="0" fontId="4" fillId="0" borderId="5" xfId="0" applyFont="1" applyBorder="1" applyAlignment="1">
      <alignment horizontal="left" wrapText="1"/>
    </xf>
    <xf numFmtId="2" fontId="3" fillId="3" borderId="12" xfId="0" applyNumberFormat="1" applyFont="1" applyFill="1" applyBorder="1" applyAlignment="1">
      <alignment horizontal="left" wrapText="1"/>
    </xf>
    <xf numFmtId="2" fontId="3" fillId="3" borderId="13" xfId="0" applyNumberFormat="1" applyFont="1" applyFill="1" applyBorder="1" applyAlignment="1">
      <alignment horizontal="left" wrapText="1"/>
    </xf>
    <xf numFmtId="2" fontId="3" fillId="3" borderId="10" xfId="0" applyNumberFormat="1" applyFont="1" applyFill="1" applyBorder="1" applyAlignment="1">
      <alignment horizontal="left"/>
    </xf>
    <xf numFmtId="2" fontId="3" fillId="3" borderId="11" xfId="0" applyNumberFormat="1" applyFont="1" applyFill="1" applyBorder="1" applyAlignment="1">
      <alignment horizontal="left"/>
    </xf>
    <xf numFmtId="15" fontId="7" fillId="0" borderId="9" xfId="0" applyNumberFormat="1" applyFont="1" applyBorder="1" applyAlignment="1">
      <alignment horizontal="left"/>
    </xf>
    <xf numFmtId="15" fontId="7" fillId="0" borderId="10" xfId="0" applyNumberFormat="1" applyFont="1" applyBorder="1" applyAlignment="1">
      <alignment horizontal="left"/>
    </xf>
    <xf numFmtId="1" fontId="3" fillId="3" borderId="10" xfId="0" applyNumberFormat="1" applyFont="1" applyFill="1" applyBorder="1" applyAlignment="1">
      <alignment horizontal="left"/>
    </xf>
    <xf numFmtId="1" fontId="3" fillId="3" borderId="11" xfId="0" applyNumberFormat="1" applyFont="1" applyFill="1" applyBorder="1" applyAlignment="1">
      <alignment horizontal="left"/>
    </xf>
    <xf numFmtId="0" fontId="3" fillId="0" borderId="10" xfId="0" applyFont="1" applyBorder="1" applyAlignment="1">
      <alignment horizontal="left"/>
    </xf>
    <xf numFmtId="0" fontId="3" fillId="0" borderId="11" xfId="0" applyFont="1" applyBorder="1" applyAlignment="1">
      <alignment horizontal="left"/>
    </xf>
    <xf numFmtId="164" fontId="8" fillId="0" borderId="12" xfId="0" applyNumberFormat="1" applyFont="1" applyBorder="1" applyAlignment="1">
      <alignment horizontal="left"/>
    </xf>
    <xf numFmtId="164" fontId="8" fillId="0" borderId="13" xfId="0" applyNumberFormat="1" applyFont="1" applyBorder="1" applyAlignment="1">
      <alignment horizontal="left"/>
    </xf>
    <xf numFmtId="164" fontId="3" fillId="0" borderId="10" xfId="0" applyNumberFormat="1" applyFont="1" applyBorder="1" applyAlignment="1">
      <alignment horizontal="left"/>
    </xf>
    <xf numFmtId="164" fontId="3" fillId="0" borderId="11" xfId="0" applyNumberFormat="1" applyFont="1" applyBorder="1" applyAlignment="1">
      <alignment horizontal="left"/>
    </xf>
    <xf numFmtId="10" fontId="3" fillId="0" borderId="10" xfId="0" applyNumberFormat="1" applyFont="1" applyBorder="1" applyAlignment="1">
      <alignment horizontal="left"/>
    </xf>
    <xf numFmtId="10" fontId="3" fillId="0" borderId="11" xfId="0" applyNumberFormat="1" applyFont="1" applyBorder="1" applyAlignment="1">
      <alignment horizontal="left"/>
    </xf>
    <xf numFmtId="1" fontId="7" fillId="0" borderId="9" xfId="0" applyNumberFormat="1" applyFont="1" applyBorder="1" applyAlignment="1">
      <alignment horizontal="left"/>
    </xf>
    <xf numFmtId="1" fontId="7" fillId="0" borderId="10" xfId="0" applyNumberFormat="1" applyFont="1" applyBorder="1" applyAlignment="1">
      <alignment horizontal="left"/>
    </xf>
    <xf numFmtId="2" fontId="7" fillId="2" borderId="12" xfId="0" applyNumberFormat="1" applyFont="1" applyFill="1" applyBorder="1" applyAlignment="1" applyProtection="1">
      <alignment horizontal="left"/>
      <protection locked="0"/>
    </xf>
    <xf numFmtId="2" fontId="7" fillId="2" borderId="13" xfId="0" applyNumberFormat="1" applyFont="1" applyFill="1" applyBorder="1" applyAlignment="1" applyProtection="1">
      <alignment horizontal="left"/>
      <protection locked="0"/>
    </xf>
    <xf numFmtId="1" fontId="7" fillId="0" borderId="14" xfId="0" applyNumberFormat="1" applyFont="1" applyBorder="1" applyAlignment="1">
      <alignment horizontal="left" vertical="center"/>
    </xf>
    <xf numFmtId="1" fontId="7" fillId="0" borderId="15" xfId="0" applyNumberFormat="1" applyFont="1" applyBorder="1" applyAlignment="1">
      <alignment horizontal="left" vertical="center"/>
    </xf>
    <xf numFmtId="2" fontId="7" fillId="2" borderId="12" xfId="0" applyNumberFormat="1" applyFont="1" applyFill="1" applyBorder="1" applyAlignment="1" applyProtection="1">
      <alignment horizontal="left" vertical="center" wrapText="1"/>
      <protection locked="0"/>
    </xf>
    <xf numFmtId="2" fontId="7" fillId="2" borderId="13" xfId="0" applyNumberFormat="1" applyFont="1" applyFill="1" applyBorder="1" applyAlignment="1" applyProtection="1">
      <alignment horizontal="left" vertical="center" wrapText="1"/>
      <protection locked="0"/>
    </xf>
    <xf numFmtId="164" fontId="8" fillId="0" borderId="12" xfId="0" applyNumberFormat="1" applyFont="1" applyBorder="1" applyAlignment="1">
      <alignment horizontal="left" vertical="center" wrapText="1"/>
    </xf>
    <xf numFmtId="164" fontId="8" fillId="0" borderId="13" xfId="0" applyNumberFormat="1" applyFont="1" applyBorder="1" applyAlignment="1">
      <alignment horizontal="left" vertical="center" wrapText="1"/>
    </xf>
    <xf numFmtId="2" fontId="7" fillId="0" borderId="9" xfId="0" applyNumberFormat="1" applyFont="1" applyBorder="1" applyAlignment="1">
      <alignment horizontal="left"/>
    </xf>
    <xf numFmtId="2" fontId="7" fillId="0" borderId="10" xfId="0" applyNumberFormat="1" applyFont="1" applyBorder="1" applyAlignment="1">
      <alignment horizontal="left"/>
    </xf>
    <xf numFmtId="164" fontId="3" fillId="0" borderId="12" xfId="0" applyNumberFormat="1" applyFont="1" applyBorder="1" applyAlignment="1">
      <alignment horizontal="left"/>
    </xf>
    <xf numFmtId="164" fontId="3" fillId="0" borderId="13" xfId="0" applyNumberFormat="1" applyFont="1" applyBorder="1" applyAlignment="1">
      <alignment horizontal="left"/>
    </xf>
    <xf numFmtId="164" fontId="3" fillId="0" borderId="12" xfId="0" applyNumberFormat="1" applyFont="1" applyBorder="1" applyAlignment="1">
      <alignment horizontal="left" vertical="top"/>
    </xf>
    <xf numFmtId="164" fontId="3" fillId="0" borderId="13" xfId="0" applyNumberFormat="1" applyFont="1" applyBorder="1" applyAlignment="1">
      <alignment horizontal="left" vertical="top"/>
    </xf>
    <xf numFmtId="164" fontId="8" fillId="0" borderId="12" xfId="0" applyNumberFormat="1" applyFont="1" applyBorder="1" applyAlignment="1">
      <alignment horizontal="left" vertical="top"/>
    </xf>
    <xf numFmtId="164" fontId="8" fillId="0" borderId="13" xfId="0" applyNumberFormat="1" applyFont="1" applyBorder="1" applyAlignment="1">
      <alignment horizontal="left" vertical="top"/>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7" fillId="0" borderId="10" xfId="0" applyFont="1" applyBorder="1" applyAlignment="1" applyProtection="1">
      <alignment horizontal="left"/>
      <protection locked="0"/>
    </xf>
    <xf numFmtId="0" fontId="7" fillId="0" borderId="11" xfId="0" applyFont="1" applyBorder="1" applyAlignment="1" applyProtection="1">
      <alignment horizontal="left"/>
      <protection locked="0"/>
    </xf>
    <xf numFmtId="0" fontId="15" fillId="0" borderId="16" xfId="0" applyFont="1" applyBorder="1" applyAlignment="1">
      <alignment horizontal="justify" vertical="justify" wrapText="1"/>
    </xf>
    <xf numFmtId="0" fontId="15" fillId="0" borderId="17" xfId="0" applyFont="1" applyBorder="1" applyAlignment="1">
      <alignment horizontal="justify" vertical="justify" wrapText="1"/>
    </xf>
    <xf numFmtId="0" fontId="15" fillId="0" borderId="18" xfId="0" applyFont="1" applyBorder="1" applyAlignment="1">
      <alignment horizontal="justify" vertical="justify" wrapText="1"/>
    </xf>
    <xf numFmtId="0" fontId="15" fillId="0" borderId="14" xfId="0" applyFont="1" applyBorder="1" applyAlignment="1">
      <alignment horizontal="justify" vertical="justify" wrapText="1"/>
    </xf>
    <xf numFmtId="0" fontId="15" fillId="0" borderId="19" xfId="0" applyFont="1" applyBorder="1" applyAlignment="1">
      <alignment horizontal="justify" vertical="justify" wrapText="1"/>
    </xf>
    <xf numFmtId="0" fontId="15" fillId="0" borderId="13" xfId="0" applyFont="1" applyBorder="1" applyAlignment="1">
      <alignment horizontal="justify" vertical="justify" wrapText="1"/>
    </xf>
    <xf numFmtId="0" fontId="7" fillId="0" borderId="14" xfId="0" applyFont="1" applyBorder="1" applyAlignment="1">
      <alignment horizontal="left"/>
    </xf>
    <xf numFmtId="0" fontId="7" fillId="0" borderId="15" xfId="0" applyFont="1" applyBorder="1" applyAlignment="1">
      <alignment horizontal="left"/>
    </xf>
    <xf numFmtId="4" fontId="17" fillId="0" borderId="12" xfId="0" applyNumberFormat="1" applyFont="1" applyBorder="1" applyAlignment="1">
      <alignment horizontal="left"/>
    </xf>
    <xf numFmtId="4" fontId="17" fillId="0" borderId="13" xfId="0" applyNumberFormat="1" applyFont="1" applyBorder="1" applyAlignment="1">
      <alignment horizontal="left"/>
    </xf>
    <xf numFmtId="0" fontId="10" fillId="0" borderId="10" xfId="0" applyFont="1" applyBorder="1" applyAlignment="1">
      <alignment horizontal="left"/>
    </xf>
    <xf numFmtId="0" fontId="10" fillId="0" borderId="11" xfId="0" applyFont="1" applyBorder="1" applyAlignment="1">
      <alignment horizontal="left"/>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4" fontId="3" fillId="0" borderId="10" xfId="0" applyNumberFormat="1" applyFont="1" applyBorder="1" applyAlignment="1">
      <alignment horizontal="left"/>
    </xf>
    <xf numFmtId="4" fontId="3" fillId="0" borderId="11" xfId="0" applyNumberFormat="1" applyFont="1" applyBorder="1" applyAlignment="1">
      <alignment horizontal="left"/>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19" fillId="0" borderId="14" xfId="0" applyFont="1" applyBorder="1" applyAlignment="1">
      <alignment horizontal="left" vertical="center"/>
    </xf>
    <xf numFmtId="0" fontId="19" fillId="0" borderId="15" xfId="0" applyFont="1" applyBorder="1" applyAlignment="1">
      <alignment horizontal="left" vertical="center"/>
    </xf>
    <xf numFmtId="2" fontId="19" fillId="0" borderId="14" xfId="0" applyNumberFormat="1" applyFont="1" applyBorder="1" applyAlignment="1">
      <alignment horizontal="left"/>
    </xf>
    <xf numFmtId="2" fontId="19" fillId="0" borderId="13" xfId="0" applyNumberFormat="1" applyFont="1" applyBorder="1" applyAlignment="1">
      <alignment horizontal="left"/>
    </xf>
    <xf numFmtId="4" fontId="19" fillId="0" borderId="14" xfId="0" applyNumberFormat="1" applyFont="1" applyBorder="1" applyAlignment="1">
      <alignment horizontal="left"/>
    </xf>
    <xf numFmtId="4" fontId="19" fillId="0" borderId="13" xfId="0" applyNumberFormat="1" applyFont="1" applyBorder="1" applyAlignment="1">
      <alignment horizontal="left"/>
    </xf>
    <xf numFmtId="2" fontId="3" fillId="3" borderId="12" xfId="0" applyNumberFormat="1" applyFont="1" applyFill="1" applyBorder="1" applyAlignment="1">
      <alignment horizontal="left"/>
    </xf>
    <xf numFmtId="2" fontId="3" fillId="3" borderId="13" xfId="0" applyNumberFormat="1" applyFont="1" applyFill="1" applyBorder="1" applyAlignment="1">
      <alignment horizontal="left"/>
    </xf>
    <xf numFmtId="166" fontId="7" fillId="2" borderId="12" xfId="0" applyNumberFormat="1" applyFont="1" applyFill="1" applyBorder="1" applyAlignment="1" applyProtection="1">
      <alignment horizontal="left"/>
      <protection locked="0"/>
    </xf>
    <xf numFmtId="166" fontId="7" fillId="2" borderId="13" xfId="0" applyNumberFormat="1" applyFont="1" applyFill="1" applyBorder="1" applyAlignment="1" applyProtection="1">
      <alignment horizontal="left"/>
      <protection locked="0"/>
    </xf>
    <xf numFmtId="0" fontId="20" fillId="0" borderId="4" xfId="0" applyFont="1" applyBorder="1" applyAlignment="1">
      <alignment horizontal="left" vertical="center" wrapText="1"/>
    </xf>
    <xf numFmtId="0" fontId="20" fillId="0" borderId="0" xfId="0" applyFont="1" applyAlignment="1">
      <alignment horizontal="left" vertical="center" wrapText="1"/>
    </xf>
    <xf numFmtId="0" fontId="20" fillId="0" borderId="5" xfId="0" applyFont="1"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219073</xdr:colOff>
      <xdr:row>0</xdr:row>
      <xdr:rowOff>76200</xdr:rowOff>
    </xdr:from>
    <xdr:to>
      <xdr:col>3</xdr:col>
      <xdr:colOff>1533525</xdr:colOff>
      <xdr:row>2</xdr:row>
      <xdr:rowOff>123825</xdr:rowOff>
    </xdr:to>
    <xdr:pic>
      <xdr:nvPicPr>
        <xdr:cNvPr id="2" name="Picture 1">
          <a:extLst>
            <a:ext uri="{FF2B5EF4-FFF2-40B4-BE49-F238E27FC236}">
              <a16:creationId xmlns:a16="http://schemas.microsoft.com/office/drawing/2014/main" id="{AD40A704-C0D9-4CB3-880D-8053D64F80DC}"/>
            </a:ext>
          </a:extLst>
        </xdr:cNvPr>
        <xdr:cNvPicPr>
          <a:picLocks noChangeAspect="1" noChangeArrowheads="1"/>
        </xdr:cNvPicPr>
      </xdr:nvPicPr>
      <xdr:blipFill>
        <a:blip xmlns:r="http://schemas.openxmlformats.org/officeDocument/2006/relationships" r:embed="rId1"/>
        <a:srcRect/>
        <a:stretch>
          <a:fillRect/>
        </a:stretch>
      </xdr:blipFill>
      <xdr:spPr>
        <a:xfrm>
          <a:off x="219073" y="76200"/>
          <a:ext cx="6153152" cy="428625"/>
        </a:xfrm>
        <a:prstGeom prst="rect">
          <a:avLst/>
        </a:prstGeom>
        <a:noFill/>
        <a:ln w="9525">
          <a:noFill/>
          <a:miter lim="800000"/>
          <a:headEnd/>
          <a:tailEnd/>
        </a:ln>
      </xdr:spPr>
    </xdr:pic>
    <xdr:clientData/>
  </xdr:twoCellAnchor>
  <xdr:twoCellAnchor editAs="oneCell">
    <xdr:from>
      <xdr:col>0</xdr:col>
      <xdr:colOff>200010</xdr:colOff>
      <xdr:row>42</xdr:row>
      <xdr:rowOff>104775</xdr:rowOff>
    </xdr:from>
    <xdr:to>
      <xdr:col>3</xdr:col>
      <xdr:colOff>1352550</xdr:colOff>
      <xdr:row>44</xdr:row>
      <xdr:rowOff>104775</xdr:rowOff>
    </xdr:to>
    <xdr:pic>
      <xdr:nvPicPr>
        <xdr:cNvPr id="4" name="Picture 2">
          <a:extLst>
            <a:ext uri="{FF2B5EF4-FFF2-40B4-BE49-F238E27FC236}">
              <a16:creationId xmlns:a16="http://schemas.microsoft.com/office/drawing/2014/main" id="{23F450BA-A457-430B-B0B0-F2E76531CBDB}"/>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00010" y="9315450"/>
          <a:ext cx="6086490" cy="381000"/>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85723</xdr:colOff>
      <xdr:row>0</xdr:row>
      <xdr:rowOff>47624</xdr:rowOff>
    </xdr:from>
    <xdr:to>
      <xdr:col>3</xdr:col>
      <xdr:colOff>1400175</xdr:colOff>
      <xdr:row>2</xdr:row>
      <xdr:rowOff>114299</xdr:rowOff>
    </xdr:to>
    <xdr:pic>
      <xdr:nvPicPr>
        <xdr:cNvPr id="2" name="Picture 1">
          <a:extLst>
            <a:ext uri="{FF2B5EF4-FFF2-40B4-BE49-F238E27FC236}">
              <a16:creationId xmlns:a16="http://schemas.microsoft.com/office/drawing/2014/main" id="{B07AD8F6-84F7-4E79-B7BB-F0CFF2ECF367}"/>
            </a:ext>
          </a:extLst>
        </xdr:cNvPr>
        <xdr:cNvPicPr>
          <a:picLocks noChangeAspect="1" noChangeArrowheads="1"/>
        </xdr:cNvPicPr>
      </xdr:nvPicPr>
      <xdr:blipFill>
        <a:blip xmlns:r="http://schemas.openxmlformats.org/officeDocument/2006/relationships" r:embed="rId1"/>
        <a:srcRect/>
        <a:stretch>
          <a:fillRect/>
        </a:stretch>
      </xdr:blipFill>
      <xdr:spPr>
        <a:xfrm>
          <a:off x="85723" y="47624"/>
          <a:ext cx="5972177" cy="485775"/>
        </a:xfrm>
        <a:prstGeom prst="rect">
          <a:avLst/>
        </a:prstGeom>
        <a:noFill/>
        <a:ln w="9525">
          <a:noFill/>
          <a:miter lim="800000"/>
          <a:headEnd/>
          <a:tailEnd/>
        </a:ln>
      </xdr:spPr>
    </xdr:pic>
    <xdr:clientData/>
  </xdr:twoCellAnchor>
  <xdr:twoCellAnchor editAs="oneCell">
    <xdr:from>
      <xdr:col>0</xdr:col>
      <xdr:colOff>133335</xdr:colOff>
      <xdr:row>39</xdr:row>
      <xdr:rowOff>180974</xdr:rowOff>
    </xdr:from>
    <xdr:to>
      <xdr:col>3</xdr:col>
      <xdr:colOff>1162049</xdr:colOff>
      <xdr:row>41</xdr:row>
      <xdr:rowOff>133350</xdr:rowOff>
    </xdr:to>
    <xdr:pic>
      <xdr:nvPicPr>
        <xdr:cNvPr id="4" name="Picture 2">
          <a:extLst>
            <a:ext uri="{FF2B5EF4-FFF2-40B4-BE49-F238E27FC236}">
              <a16:creationId xmlns:a16="http://schemas.microsoft.com/office/drawing/2014/main" id="{172B5338-F467-42E0-A74D-F11B2F257669}"/>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33335" y="8934449"/>
          <a:ext cx="5686439" cy="333376"/>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152398</xdr:colOff>
      <xdr:row>0</xdr:row>
      <xdr:rowOff>76199</xdr:rowOff>
    </xdr:from>
    <xdr:to>
      <xdr:col>3</xdr:col>
      <xdr:colOff>1466850</xdr:colOff>
      <xdr:row>2</xdr:row>
      <xdr:rowOff>114300</xdr:rowOff>
    </xdr:to>
    <xdr:pic>
      <xdr:nvPicPr>
        <xdr:cNvPr id="2" name="Picture 1">
          <a:extLst>
            <a:ext uri="{FF2B5EF4-FFF2-40B4-BE49-F238E27FC236}">
              <a16:creationId xmlns:a16="http://schemas.microsoft.com/office/drawing/2014/main" id="{D6DF24D1-0D9B-4696-8D80-098F6667AFCA}"/>
            </a:ext>
          </a:extLst>
        </xdr:cNvPr>
        <xdr:cNvPicPr>
          <a:picLocks noChangeAspect="1" noChangeArrowheads="1"/>
        </xdr:cNvPicPr>
      </xdr:nvPicPr>
      <xdr:blipFill>
        <a:blip xmlns:r="http://schemas.openxmlformats.org/officeDocument/2006/relationships" r:embed="rId1"/>
        <a:srcRect/>
        <a:stretch>
          <a:fillRect/>
        </a:stretch>
      </xdr:blipFill>
      <xdr:spPr>
        <a:xfrm>
          <a:off x="152398" y="76199"/>
          <a:ext cx="5438777" cy="514351"/>
        </a:xfrm>
        <a:prstGeom prst="rect">
          <a:avLst/>
        </a:prstGeom>
        <a:noFill/>
        <a:ln w="9525">
          <a:noFill/>
          <a:miter lim="800000"/>
          <a:headEnd/>
          <a:tailEnd/>
        </a:ln>
      </xdr:spPr>
    </xdr:pic>
    <xdr:clientData/>
  </xdr:twoCellAnchor>
  <xdr:twoCellAnchor editAs="oneCell">
    <xdr:from>
      <xdr:col>0</xdr:col>
      <xdr:colOff>409562</xdr:colOff>
      <xdr:row>41</xdr:row>
      <xdr:rowOff>9525</xdr:rowOff>
    </xdr:from>
    <xdr:to>
      <xdr:col>3</xdr:col>
      <xdr:colOff>1142999</xdr:colOff>
      <xdr:row>43</xdr:row>
      <xdr:rowOff>28575</xdr:rowOff>
    </xdr:to>
    <xdr:pic>
      <xdr:nvPicPr>
        <xdr:cNvPr id="4" name="Picture 2">
          <a:extLst>
            <a:ext uri="{FF2B5EF4-FFF2-40B4-BE49-F238E27FC236}">
              <a16:creationId xmlns:a16="http://schemas.microsoft.com/office/drawing/2014/main" id="{07EA02CC-5C00-4A14-8CC9-4BADBB9186D8}"/>
            </a:ext>
          </a:extLst>
        </xdr:cNvPr>
        <xdr:cNvPicPr>
          <a:picLocks noChangeAspect="1" noChangeArrowheads="1"/>
        </xdr:cNvPicPr>
      </xdr:nvPicPr>
      <xdr:blipFill>
        <a:blip xmlns:r="http://schemas.openxmlformats.org/officeDocument/2006/relationships" r:embed="rId2"/>
        <a:srcRect/>
        <a:stretch>
          <a:fillRect/>
        </a:stretch>
      </xdr:blipFill>
      <xdr:spPr bwMode="auto">
        <a:xfrm>
          <a:off x="409562" y="8124825"/>
          <a:ext cx="4933962" cy="400050"/>
        </a:xfrm>
        <a:prstGeom prst="rect">
          <a:avLst/>
        </a:prstGeom>
        <a:noFill/>
        <a:ln w="1">
          <a:noFill/>
          <a:miter lim="800000"/>
          <a:headEnd/>
          <a:tailEnd type="none" w="med" len="med"/>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85723</xdr:colOff>
      <xdr:row>0</xdr:row>
      <xdr:rowOff>47624</xdr:rowOff>
    </xdr:from>
    <xdr:to>
      <xdr:col>3</xdr:col>
      <xdr:colOff>1257299</xdr:colOff>
      <xdr:row>2</xdr:row>
      <xdr:rowOff>114299</xdr:rowOff>
    </xdr:to>
    <xdr:pic>
      <xdr:nvPicPr>
        <xdr:cNvPr id="2" name="Picture 1">
          <a:extLst>
            <a:ext uri="{FF2B5EF4-FFF2-40B4-BE49-F238E27FC236}">
              <a16:creationId xmlns:a16="http://schemas.microsoft.com/office/drawing/2014/main" id="{570ACC35-B932-4237-B347-FA0631DD1E68}"/>
            </a:ext>
          </a:extLst>
        </xdr:cNvPr>
        <xdr:cNvPicPr>
          <a:picLocks noChangeAspect="1" noChangeArrowheads="1"/>
        </xdr:cNvPicPr>
      </xdr:nvPicPr>
      <xdr:blipFill>
        <a:blip xmlns:r="http://schemas.openxmlformats.org/officeDocument/2006/relationships" r:embed="rId1"/>
        <a:srcRect/>
        <a:stretch>
          <a:fillRect/>
        </a:stretch>
      </xdr:blipFill>
      <xdr:spPr>
        <a:xfrm>
          <a:off x="85723" y="47624"/>
          <a:ext cx="5657851" cy="523875"/>
        </a:xfrm>
        <a:prstGeom prst="rect">
          <a:avLst/>
        </a:prstGeom>
        <a:noFill/>
        <a:ln w="9525">
          <a:noFill/>
          <a:miter lim="800000"/>
          <a:headEnd/>
          <a:tailEnd/>
        </a:ln>
      </xdr:spPr>
    </xdr:pic>
    <xdr:clientData/>
  </xdr:twoCellAnchor>
  <xdr:twoCellAnchor editAs="oneCell">
    <xdr:from>
      <xdr:col>0</xdr:col>
      <xdr:colOff>323841</xdr:colOff>
      <xdr:row>41</xdr:row>
      <xdr:rowOff>133350</xdr:rowOff>
    </xdr:from>
    <xdr:to>
      <xdr:col>3</xdr:col>
      <xdr:colOff>457200</xdr:colOff>
      <xdr:row>43</xdr:row>
      <xdr:rowOff>152400</xdr:rowOff>
    </xdr:to>
    <xdr:pic>
      <xdr:nvPicPr>
        <xdr:cNvPr id="4" name="Picture 2">
          <a:extLst>
            <a:ext uri="{FF2B5EF4-FFF2-40B4-BE49-F238E27FC236}">
              <a16:creationId xmlns:a16="http://schemas.microsoft.com/office/drawing/2014/main" id="{E6259724-6CEE-42A4-96A7-4820E6387BD1}"/>
            </a:ext>
          </a:extLst>
        </xdr:cNvPr>
        <xdr:cNvPicPr>
          <a:picLocks noChangeAspect="1" noChangeArrowheads="1"/>
        </xdr:cNvPicPr>
      </xdr:nvPicPr>
      <xdr:blipFill>
        <a:blip xmlns:r="http://schemas.openxmlformats.org/officeDocument/2006/relationships" r:embed="rId2"/>
        <a:srcRect/>
        <a:stretch>
          <a:fillRect/>
        </a:stretch>
      </xdr:blipFill>
      <xdr:spPr bwMode="auto">
        <a:xfrm>
          <a:off x="323841" y="8334375"/>
          <a:ext cx="4695834" cy="400050"/>
        </a:xfrm>
        <a:prstGeom prst="rect">
          <a:avLst/>
        </a:prstGeom>
        <a:noFill/>
        <a:ln w="1">
          <a:noFill/>
          <a:miter lim="800000"/>
          <a:headEnd/>
          <a:tailEnd type="none" w="med" len="med"/>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219073</xdr:colOff>
      <xdr:row>0</xdr:row>
      <xdr:rowOff>76200</xdr:rowOff>
    </xdr:from>
    <xdr:to>
      <xdr:col>3</xdr:col>
      <xdr:colOff>1533525</xdr:colOff>
      <xdr:row>2</xdr:row>
      <xdr:rowOff>123825</xdr:rowOff>
    </xdr:to>
    <xdr:pic>
      <xdr:nvPicPr>
        <xdr:cNvPr id="2" name="Picture 1">
          <a:extLst>
            <a:ext uri="{FF2B5EF4-FFF2-40B4-BE49-F238E27FC236}">
              <a16:creationId xmlns:a16="http://schemas.microsoft.com/office/drawing/2014/main" id="{EA646BC5-48B3-4946-A857-DF085CC740C7}"/>
            </a:ext>
          </a:extLst>
        </xdr:cNvPr>
        <xdr:cNvPicPr>
          <a:picLocks noChangeAspect="1" noChangeArrowheads="1"/>
        </xdr:cNvPicPr>
      </xdr:nvPicPr>
      <xdr:blipFill>
        <a:blip xmlns:r="http://schemas.openxmlformats.org/officeDocument/2006/relationships" r:embed="rId1"/>
        <a:srcRect/>
        <a:stretch>
          <a:fillRect/>
        </a:stretch>
      </xdr:blipFill>
      <xdr:spPr>
        <a:xfrm>
          <a:off x="219073" y="76200"/>
          <a:ext cx="6096002" cy="428625"/>
        </a:xfrm>
        <a:prstGeom prst="rect">
          <a:avLst/>
        </a:prstGeom>
        <a:noFill/>
        <a:ln w="9525">
          <a:noFill/>
          <a:miter lim="800000"/>
          <a:headEnd/>
          <a:tailEnd/>
        </a:ln>
      </xdr:spPr>
    </xdr:pic>
    <xdr:clientData/>
  </xdr:twoCellAnchor>
  <xdr:twoCellAnchor editAs="oneCell">
    <xdr:from>
      <xdr:col>0</xdr:col>
      <xdr:colOff>180950</xdr:colOff>
      <xdr:row>39</xdr:row>
      <xdr:rowOff>38100</xdr:rowOff>
    </xdr:from>
    <xdr:to>
      <xdr:col>0</xdr:col>
      <xdr:colOff>866775</xdr:colOff>
      <xdr:row>40</xdr:row>
      <xdr:rowOff>142875</xdr:rowOff>
    </xdr:to>
    <xdr:pic>
      <xdr:nvPicPr>
        <xdr:cNvPr id="3" name="Picture 8">
          <a:extLst>
            <a:ext uri="{FF2B5EF4-FFF2-40B4-BE49-F238E27FC236}">
              <a16:creationId xmlns:a16="http://schemas.microsoft.com/office/drawing/2014/main" id="{363FF1C0-8331-4310-9280-F567DDEB6226}"/>
            </a:ext>
          </a:extLst>
        </xdr:cNvPr>
        <xdr:cNvPicPr>
          <a:picLocks noChangeAspect="1" noChangeArrowheads="1"/>
        </xdr:cNvPicPr>
      </xdr:nvPicPr>
      <xdr:blipFill>
        <a:blip xmlns:r="http://schemas.openxmlformats.org/officeDocument/2006/relationships" r:embed="rId2" cstate="print"/>
        <a:srcRect/>
        <a:stretch>
          <a:fillRect/>
        </a:stretch>
      </xdr:blipFill>
      <xdr:spPr>
        <a:xfrm>
          <a:off x="180950" y="8810625"/>
          <a:ext cx="685825" cy="295275"/>
        </a:xfrm>
        <a:prstGeom prst="rect">
          <a:avLst/>
        </a:prstGeom>
        <a:noFill/>
        <a:ln w="9525">
          <a:noFill/>
          <a:miter lim="800000"/>
          <a:headEnd/>
          <a:tailEnd/>
        </a:ln>
      </xdr:spPr>
    </xdr:pic>
    <xdr:clientData/>
  </xdr:twoCellAnchor>
  <xdr:twoCellAnchor editAs="oneCell">
    <xdr:from>
      <xdr:col>0</xdr:col>
      <xdr:colOff>180960</xdr:colOff>
      <xdr:row>42</xdr:row>
      <xdr:rowOff>104775</xdr:rowOff>
    </xdr:from>
    <xdr:to>
      <xdr:col>3</xdr:col>
      <xdr:colOff>1200150</xdr:colOff>
      <xdr:row>44</xdr:row>
      <xdr:rowOff>104775</xdr:rowOff>
    </xdr:to>
    <xdr:pic>
      <xdr:nvPicPr>
        <xdr:cNvPr id="4" name="Picture 2">
          <a:extLst>
            <a:ext uri="{FF2B5EF4-FFF2-40B4-BE49-F238E27FC236}">
              <a16:creationId xmlns:a16="http://schemas.microsoft.com/office/drawing/2014/main" id="{79B9156F-3765-4CA0-A145-413FDB8743D4}"/>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80960" y="9448800"/>
          <a:ext cx="5953140" cy="3810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F9231-8F57-4D09-950E-5226481986ED}">
  <dimension ref="A1:J46"/>
  <sheetViews>
    <sheetView workbookViewId="0">
      <selection activeCell="K24" sqref="K24"/>
    </sheetView>
  </sheetViews>
  <sheetFormatPr defaultColWidth="9" defaultRowHeight="15" x14ac:dyDescent="0.25"/>
  <cols>
    <col min="1" max="1" width="17.28515625" customWidth="1"/>
    <col min="2" max="2" width="31" customWidth="1"/>
    <col min="3" max="3" width="24.28515625" customWidth="1"/>
    <col min="4" max="4" width="26.5703125" customWidth="1"/>
    <col min="6" max="6" width="13.140625" customWidth="1"/>
    <col min="8" max="8" width="6.140625" customWidth="1"/>
    <col min="9" max="9" width="13.42578125" customWidth="1"/>
  </cols>
  <sheetData>
    <row r="1" spans="1:9" ht="18" customHeight="1" x14ac:dyDescent="0.25">
      <c r="A1" s="107"/>
      <c r="B1" s="108"/>
      <c r="C1" s="108"/>
      <c r="D1" s="109"/>
    </row>
    <row r="2" spans="1:9" ht="12" customHeight="1" x14ac:dyDescent="0.25">
      <c r="A2" s="110"/>
      <c r="B2" s="111"/>
      <c r="C2" s="111"/>
      <c r="D2" s="112"/>
    </row>
    <row r="3" spans="1:9" ht="15.75" thickBot="1" x14ac:dyDescent="0.3">
      <c r="A3" s="113"/>
      <c r="B3" s="114"/>
      <c r="C3" s="114"/>
      <c r="D3" s="115"/>
    </row>
    <row r="4" spans="1:9" x14ac:dyDescent="0.25">
      <c r="A4" s="2">
        <v>46288</v>
      </c>
      <c r="B4" s="3"/>
      <c r="C4" s="4"/>
      <c r="D4" s="5"/>
    </row>
    <row r="5" spans="1:9" x14ac:dyDescent="0.25">
      <c r="A5" s="6" t="s">
        <v>77</v>
      </c>
      <c r="B5" s="7"/>
      <c r="C5" s="4"/>
      <c r="D5" s="5"/>
    </row>
    <row r="6" spans="1:9" ht="17.25" customHeight="1" x14ac:dyDescent="0.25">
      <c r="A6" s="6"/>
      <c r="B6" s="7"/>
      <c r="C6" s="4"/>
      <c r="D6" s="5"/>
    </row>
    <row r="7" spans="1:9" ht="16.5" x14ac:dyDescent="0.25">
      <c r="A7" s="116" t="s">
        <v>46</v>
      </c>
      <c r="B7" s="117"/>
      <c r="C7" s="117"/>
      <c r="D7" s="118"/>
    </row>
    <row r="8" spans="1:9" ht="18.75" customHeight="1" x14ac:dyDescent="0.25">
      <c r="A8" s="133" t="s">
        <v>47</v>
      </c>
      <c r="B8" s="134"/>
      <c r="C8" s="134"/>
      <c r="D8" s="135"/>
    </row>
    <row r="9" spans="1:9" ht="17.25" customHeight="1" x14ac:dyDescent="0.25">
      <c r="A9" s="11"/>
      <c r="B9" s="12"/>
      <c r="C9" s="12"/>
      <c r="D9" s="13"/>
    </row>
    <row r="10" spans="1:9" x14ac:dyDescent="0.25">
      <c r="A10" s="14" t="s">
        <v>1</v>
      </c>
      <c r="B10" s="15"/>
      <c r="C10" s="4"/>
      <c r="D10" s="5"/>
    </row>
    <row r="11" spans="1:9" x14ac:dyDescent="0.25">
      <c r="A11" s="14" t="s">
        <v>2</v>
      </c>
      <c r="B11" s="15"/>
      <c r="C11" s="4"/>
      <c r="D11" s="5"/>
    </row>
    <row r="12" spans="1:9" x14ac:dyDescent="0.25">
      <c r="A12" s="99" t="s">
        <v>3</v>
      </c>
      <c r="B12" s="100"/>
      <c r="C12" s="119" t="s">
        <v>4</v>
      </c>
      <c r="D12" s="120"/>
      <c r="G12" s="16"/>
      <c r="I12" s="35"/>
    </row>
    <row r="13" spans="1:9" x14ac:dyDescent="0.25">
      <c r="A13" s="99" t="s">
        <v>5</v>
      </c>
      <c r="B13" s="100"/>
      <c r="C13" s="85" t="s">
        <v>59</v>
      </c>
      <c r="D13" s="86"/>
      <c r="G13" s="17"/>
      <c r="I13" s="35"/>
    </row>
    <row r="14" spans="1:9" x14ac:dyDescent="0.25">
      <c r="A14" s="99" t="s">
        <v>7</v>
      </c>
      <c r="B14" s="100"/>
      <c r="C14" s="101">
        <v>46288</v>
      </c>
      <c r="D14" s="102"/>
      <c r="I14" s="35"/>
    </row>
    <row r="15" spans="1:9" x14ac:dyDescent="0.25">
      <c r="A15" s="89" t="s">
        <v>8</v>
      </c>
      <c r="B15" s="90"/>
      <c r="C15" s="103">
        <v>46288</v>
      </c>
      <c r="D15" s="104"/>
      <c r="F15" s="46"/>
      <c r="I15" s="35"/>
    </row>
    <row r="16" spans="1:9" x14ac:dyDescent="0.25">
      <c r="A16" s="89" t="s">
        <v>9</v>
      </c>
      <c r="B16" s="90"/>
      <c r="C16" s="105" t="s">
        <v>60</v>
      </c>
      <c r="D16" s="106"/>
      <c r="I16" s="35"/>
    </row>
    <row r="17" spans="1:10" ht="13.5" customHeight="1" x14ac:dyDescent="0.25">
      <c r="A17" s="89" t="s">
        <v>11</v>
      </c>
      <c r="B17" s="90"/>
      <c r="C17" s="91">
        <v>100</v>
      </c>
      <c r="D17" s="92"/>
      <c r="F17" s="1"/>
      <c r="G17" s="1"/>
      <c r="H17" s="47"/>
      <c r="I17" s="35"/>
    </row>
    <row r="18" spans="1:10" ht="15" customHeight="1" x14ac:dyDescent="0.25">
      <c r="A18" s="93" t="s">
        <v>12</v>
      </c>
      <c r="B18" s="94"/>
      <c r="C18" s="95" t="s">
        <v>61</v>
      </c>
      <c r="D18" s="96"/>
      <c r="H18" s="17"/>
      <c r="I18" s="35"/>
      <c r="J18" s="18"/>
    </row>
    <row r="19" spans="1:10" x14ac:dyDescent="0.25">
      <c r="A19" s="77" t="s">
        <v>49</v>
      </c>
      <c r="B19" s="78"/>
      <c r="C19" s="97">
        <v>53488</v>
      </c>
      <c r="D19" s="98"/>
      <c r="F19" s="20"/>
      <c r="I19" s="35"/>
    </row>
    <row r="20" spans="1:10" x14ac:dyDescent="0.25">
      <c r="A20" s="77" t="s">
        <v>50</v>
      </c>
      <c r="B20" s="78"/>
      <c r="C20" s="83" t="s">
        <v>62</v>
      </c>
      <c r="D20" s="84"/>
      <c r="I20" s="35"/>
    </row>
    <row r="21" spans="1:10" x14ac:dyDescent="0.25">
      <c r="A21" s="77" t="s">
        <v>17</v>
      </c>
      <c r="B21" s="78"/>
      <c r="C21" s="85">
        <v>46183</v>
      </c>
      <c r="D21" s="86"/>
      <c r="I21" s="35"/>
    </row>
    <row r="22" spans="1:10" x14ac:dyDescent="0.25">
      <c r="A22" s="77" t="s">
        <v>18</v>
      </c>
      <c r="B22" s="78"/>
      <c r="C22" s="87">
        <v>7.8200000000000006E-2</v>
      </c>
      <c r="D22" s="88"/>
      <c r="I22" s="35"/>
    </row>
    <row r="23" spans="1:10" x14ac:dyDescent="0.25">
      <c r="A23" s="77" t="s">
        <v>51</v>
      </c>
      <c r="B23" s="78"/>
      <c r="C23" s="79">
        <f>COUPDAYBS(C15,C19,2,4)</f>
        <v>103</v>
      </c>
      <c r="D23" s="80"/>
      <c r="I23" s="35"/>
    </row>
    <row r="24" spans="1:10" x14ac:dyDescent="0.25">
      <c r="A24" s="77" t="s">
        <v>52</v>
      </c>
      <c r="B24" s="78"/>
      <c r="C24" s="79">
        <v>10000</v>
      </c>
      <c r="D24" s="80"/>
      <c r="I24" s="35"/>
    </row>
    <row r="25" spans="1:10" x14ac:dyDescent="0.25">
      <c r="A25" s="77" t="s">
        <v>53</v>
      </c>
      <c r="B25" s="78"/>
      <c r="C25" s="81">
        <f>100*C24</f>
        <v>1000000</v>
      </c>
      <c r="D25" s="82"/>
      <c r="I25" s="35"/>
    </row>
    <row r="26" spans="1:10" x14ac:dyDescent="0.25">
      <c r="A26" s="66" t="s">
        <v>54</v>
      </c>
      <c r="B26" s="67"/>
      <c r="C26" s="73">
        <f>C25*C17/100</f>
        <v>1000000</v>
      </c>
      <c r="D26" s="74"/>
      <c r="I26" s="35"/>
    </row>
    <row r="27" spans="1:10" x14ac:dyDescent="0.25">
      <c r="A27" s="66" t="s">
        <v>23</v>
      </c>
      <c r="B27" s="67"/>
      <c r="C27" s="75">
        <f>C25*C22*C23/360</f>
        <v>22373.888888888891</v>
      </c>
      <c r="D27" s="76"/>
      <c r="I27" s="35"/>
    </row>
    <row r="28" spans="1:10" ht="17.25" x14ac:dyDescent="0.4">
      <c r="A28" s="66" t="s">
        <v>63</v>
      </c>
      <c r="B28" s="67"/>
      <c r="C28" s="68">
        <f>C26+C27</f>
        <v>1022373.8888888889</v>
      </c>
      <c r="D28" s="69"/>
      <c r="I28" s="35"/>
    </row>
    <row r="29" spans="1:10" ht="17.25" x14ac:dyDescent="0.4">
      <c r="A29" s="127" t="s">
        <v>64</v>
      </c>
      <c r="B29" s="128"/>
      <c r="C29" s="129">
        <v>0</v>
      </c>
      <c r="D29" s="130"/>
      <c r="I29" s="35"/>
    </row>
    <row r="30" spans="1:10" ht="17.25" x14ac:dyDescent="0.4">
      <c r="A30" s="127" t="s">
        <v>65</v>
      </c>
      <c r="B30" s="128"/>
      <c r="C30" s="129">
        <f>C28-C29</f>
        <v>1022373.8888888889</v>
      </c>
      <c r="D30" s="130"/>
      <c r="I30" s="35"/>
    </row>
    <row r="31" spans="1:10" x14ac:dyDescent="0.25">
      <c r="A31" s="66" t="s">
        <v>66</v>
      </c>
      <c r="B31" s="67"/>
      <c r="C31" s="131" t="s">
        <v>67</v>
      </c>
      <c r="D31" s="132"/>
    </row>
    <row r="32" spans="1:10" x14ac:dyDescent="0.25">
      <c r="A32" s="22" t="s">
        <v>26</v>
      </c>
      <c r="B32" s="23" t="s">
        <v>27</v>
      </c>
      <c r="C32" s="48" t="s">
        <v>28</v>
      </c>
      <c r="D32" s="49"/>
      <c r="I32" s="35"/>
    </row>
    <row r="33" spans="1:9" x14ac:dyDescent="0.25">
      <c r="A33" s="50" t="s">
        <v>68</v>
      </c>
      <c r="B33" s="30" t="s">
        <v>69</v>
      </c>
      <c r="C33" s="51" t="s">
        <v>70</v>
      </c>
      <c r="D33" s="52"/>
      <c r="I33" s="35"/>
    </row>
    <row r="34" spans="1:9" ht="13.5" customHeight="1" x14ac:dyDescent="0.25">
      <c r="A34" s="22" t="s">
        <v>71</v>
      </c>
      <c r="B34" s="27" t="s">
        <v>72</v>
      </c>
      <c r="C34" s="51" t="s">
        <v>73</v>
      </c>
      <c r="D34" s="53"/>
      <c r="I34" s="35"/>
    </row>
    <row r="35" spans="1:9" ht="14.25" customHeight="1" x14ac:dyDescent="0.25">
      <c r="A35" s="22" t="s">
        <v>31</v>
      </c>
      <c r="B35" s="27" t="s">
        <v>74</v>
      </c>
      <c r="C35" s="51" t="s">
        <v>75</v>
      </c>
      <c r="D35" s="53"/>
      <c r="I35" s="35"/>
    </row>
    <row r="36" spans="1:9" x14ac:dyDescent="0.25">
      <c r="A36" s="22" t="s">
        <v>38</v>
      </c>
      <c r="B36" s="54" t="s">
        <v>76</v>
      </c>
      <c r="C36" s="55"/>
      <c r="D36" s="56"/>
      <c r="I36" s="35"/>
    </row>
    <row r="37" spans="1:9" ht="78" customHeight="1" x14ac:dyDescent="0.25">
      <c r="A37" s="121" t="s">
        <v>42</v>
      </c>
      <c r="B37" s="122"/>
      <c r="C37" s="122"/>
      <c r="D37" s="123"/>
      <c r="I37" s="35"/>
    </row>
    <row r="38" spans="1:9" ht="35.25" customHeight="1" x14ac:dyDescent="0.25">
      <c r="A38" s="124" t="s">
        <v>43</v>
      </c>
      <c r="B38" s="125"/>
      <c r="C38" s="125"/>
      <c r="D38" s="126"/>
      <c r="I38" s="35"/>
    </row>
    <row r="39" spans="1:9" x14ac:dyDescent="0.25">
      <c r="A39" s="14" t="s">
        <v>44</v>
      </c>
      <c r="B39" s="15"/>
      <c r="C39" s="4"/>
      <c r="D39" s="5"/>
      <c r="I39" s="35"/>
    </row>
    <row r="40" spans="1:9" x14ac:dyDescent="0.25">
      <c r="A40" s="70"/>
      <c r="B40" s="15"/>
      <c r="C40" s="4"/>
      <c r="D40" s="5"/>
      <c r="I40" s="35"/>
    </row>
    <row r="41" spans="1:9" x14ac:dyDescent="0.25">
      <c r="A41" s="70"/>
      <c r="B41" s="4"/>
      <c r="C41" s="71" t="str">
        <f>A7</f>
        <v>Counterparty Name-</v>
      </c>
      <c r="D41" s="72"/>
      <c r="I41" s="35"/>
    </row>
    <row r="42" spans="1:9" x14ac:dyDescent="0.25">
      <c r="A42" s="6" t="s">
        <v>45</v>
      </c>
      <c r="B42" s="4"/>
      <c r="C42" s="7" t="s">
        <v>45</v>
      </c>
      <c r="D42" s="5"/>
      <c r="I42" s="35"/>
    </row>
    <row r="43" spans="1:9" x14ac:dyDescent="0.25">
      <c r="A43" s="6"/>
      <c r="B43" s="4"/>
      <c r="C43" s="7"/>
      <c r="D43" s="5"/>
      <c r="I43" s="35"/>
    </row>
    <row r="44" spans="1:9" x14ac:dyDescent="0.25">
      <c r="A44" s="6"/>
      <c r="B44" s="4"/>
      <c r="C44" s="7"/>
      <c r="D44" s="5"/>
    </row>
    <row r="45" spans="1:9" ht="15.75" thickBot="1" x14ac:dyDescent="0.3">
      <c r="A45" s="36"/>
      <c r="B45" s="37"/>
      <c r="C45" s="38"/>
      <c r="D45" s="39"/>
    </row>
    <row r="46" spans="1:9" x14ac:dyDescent="0.25">
      <c r="A46" s="4"/>
      <c r="B46" s="4"/>
      <c r="C46" s="4"/>
      <c r="D46" s="4"/>
    </row>
  </sheetData>
  <mergeCells count="47">
    <mergeCell ref="A13:B13"/>
    <mergeCell ref="C13:D13"/>
    <mergeCell ref="A1:D3"/>
    <mergeCell ref="A7:D7"/>
    <mergeCell ref="A8:D8"/>
    <mergeCell ref="A12:B12"/>
    <mergeCell ref="C12:D12"/>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37:D37"/>
    <mergeCell ref="A38:D38"/>
    <mergeCell ref="A40:A41"/>
    <mergeCell ref="C41:D41"/>
    <mergeCell ref="A29:B29"/>
    <mergeCell ref="C29:D29"/>
    <mergeCell ref="A30:B30"/>
    <mergeCell ref="C30:D30"/>
    <mergeCell ref="A31:B31"/>
    <mergeCell ref="C31:D31"/>
  </mergeCells>
  <pageMargins left="0.7" right="0.7" top="0.75" bottom="0.75" header="0.3" footer="0.3"/>
  <pageSetup scale="90"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workbookViewId="0">
      <selection activeCell="A8" sqref="A8:D8"/>
    </sheetView>
  </sheetViews>
  <sheetFormatPr defaultColWidth="9" defaultRowHeight="15" x14ac:dyDescent="0.25"/>
  <cols>
    <col min="1" max="1" width="18.140625" customWidth="1"/>
    <col min="2" max="2" width="23.140625" customWidth="1"/>
    <col min="3" max="3" width="28.5703125" customWidth="1"/>
    <col min="4" max="4" width="24.85546875" customWidth="1"/>
    <col min="6" max="6" width="13.140625" customWidth="1"/>
    <col min="9" max="9" width="11.5703125" customWidth="1"/>
  </cols>
  <sheetData>
    <row r="1" spans="1:9" ht="18" customHeight="1" x14ac:dyDescent="0.25">
      <c r="A1" s="107"/>
      <c r="B1" s="108"/>
      <c r="C1" s="108"/>
      <c r="D1" s="109"/>
    </row>
    <row r="2" spans="1:9" ht="15" customHeight="1" x14ac:dyDescent="0.25">
      <c r="A2" s="110"/>
      <c r="B2" s="111"/>
      <c r="C2" s="111"/>
      <c r="D2" s="112"/>
    </row>
    <row r="3" spans="1:9" ht="15.75" thickBot="1" x14ac:dyDescent="0.3">
      <c r="A3" s="113"/>
      <c r="B3" s="114"/>
      <c r="C3" s="114"/>
      <c r="D3" s="115"/>
    </row>
    <row r="4" spans="1:9" x14ac:dyDescent="0.25">
      <c r="A4" s="2">
        <v>46287</v>
      </c>
      <c r="B4" s="3"/>
      <c r="C4" s="4"/>
      <c r="D4" s="5"/>
    </row>
    <row r="5" spans="1:9" x14ac:dyDescent="0.25">
      <c r="A5" s="6" t="s">
        <v>0</v>
      </c>
      <c r="B5" s="7"/>
      <c r="C5" s="4"/>
      <c r="D5" s="5"/>
    </row>
    <row r="6" spans="1:9" ht="17.25" customHeight="1" x14ac:dyDescent="0.25">
      <c r="A6" s="6"/>
      <c r="B6" s="7"/>
      <c r="C6" s="4"/>
      <c r="D6" s="5"/>
    </row>
    <row r="7" spans="1:9" ht="18.75" x14ac:dyDescent="0.25">
      <c r="A7" s="138" t="s">
        <v>46</v>
      </c>
      <c r="B7" s="139"/>
      <c r="C7" s="139"/>
      <c r="D7" s="140"/>
    </row>
    <row r="8" spans="1:9" ht="24.75" customHeight="1" x14ac:dyDescent="0.25">
      <c r="A8" s="133" t="s">
        <v>47</v>
      </c>
      <c r="B8" s="134"/>
      <c r="C8" s="134"/>
      <c r="D8" s="135"/>
    </row>
    <row r="9" spans="1:9" ht="18.75" customHeight="1" x14ac:dyDescent="0.25">
      <c r="A9" s="11"/>
      <c r="B9" s="12"/>
      <c r="C9" s="12"/>
      <c r="D9" s="13"/>
    </row>
    <row r="10" spans="1:9" x14ac:dyDescent="0.25">
      <c r="A10" s="14" t="s">
        <v>1</v>
      </c>
      <c r="B10" s="15"/>
      <c r="C10" s="4"/>
      <c r="D10" s="5"/>
    </row>
    <row r="11" spans="1:9" x14ac:dyDescent="0.25">
      <c r="A11" s="14" t="s">
        <v>2</v>
      </c>
      <c r="B11" s="15"/>
      <c r="C11" s="4"/>
      <c r="D11" s="5"/>
    </row>
    <row r="12" spans="1:9" x14ac:dyDescent="0.25">
      <c r="A12" s="99" t="s">
        <v>3</v>
      </c>
      <c r="B12" s="100"/>
      <c r="C12" s="119" t="s">
        <v>4</v>
      </c>
      <c r="D12" s="120"/>
      <c r="G12" s="16"/>
    </row>
    <row r="13" spans="1:9" x14ac:dyDescent="0.25">
      <c r="A13" s="99" t="s">
        <v>5</v>
      </c>
      <c r="B13" s="100"/>
      <c r="C13" s="85" t="s">
        <v>6</v>
      </c>
      <c r="D13" s="86"/>
      <c r="G13" s="17"/>
    </row>
    <row r="14" spans="1:9" x14ac:dyDescent="0.25">
      <c r="A14" s="99" t="s">
        <v>7</v>
      </c>
      <c r="B14" s="100"/>
      <c r="C14" s="101">
        <v>46288</v>
      </c>
      <c r="D14" s="102"/>
      <c r="I14" s="18"/>
    </row>
    <row r="15" spans="1:9" x14ac:dyDescent="0.25">
      <c r="A15" s="89" t="s">
        <v>8</v>
      </c>
      <c r="B15" s="90"/>
      <c r="C15" s="103">
        <v>46288</v>
      </c>
      <c r="D15" s="104"/>
      <c r="F15" s="19"/>
    </row>
    <row r="16" spans="1:9" x14ac:dyDescent="0.25">
      <c r="A16" s="89" t="s">
        <v>9</v>
      </c>
      <c r="B16" s="90"/>
      <c r="C16" s="105" t="s">
        <v>10</v>
      </c>
      <c r="D16" s="106"/>
    </row>
    <row r="17" spans="1:10" x14ac:dyDescent="0.25">
      <c r="A17" s="89" t="s">
        <v>11</v>
      </c>
      <c r="B17" s="90"/>
      <c r="C17" s="91">
        <v>100</v>
      </c>
      <c r="D17" s="92"/>
      <c r="H17" s="17"/>
      <c r="J17" s="17"/>
    </row>
    <row r="18" spans="1:10" ht="16.5" customHeight="1" x14ac:dyDescent="0.25">
      <c r="A18" s="93" t="s">
        <v>12</v>
      </c>
      <c r="B18" s="94"/>
      <c r="C18" s="95" t="s">
        <v>13</v>
      </c>
      <c r="D18" s="96"/>
      <c r="H18" s="17"/>
      <c r="J18" s="17"/>
    </row>
    <row r="19" spans="1:10" ht="13.5" customHeight="1" x14ac:dyDescent="0.25">
      <c r="A19" s="77" t="s">
        <v>14</v>
      </c>
      <c r="B19" s="78"/>
      <c r="C19" s="97">
        <v>46866</v>
      </c>
      <c r="D19" s="98"/>
      <c r="F19" s="20"/>
    </row>
    <row r="20" spans="1:10" x14ac:dyDescent="0.25">
      <c r="A20" s="77" t="s">
        <v>15</v>
      </c>
      <c r="B20" s="78"/>
      <c r="C20" s="83" t="s">
        <v>16</v>
      </c>
      <c r="D20" s="84"/>
      <c r="F20" s="18"/>
    </row>
    <row r="21" spans="1:10" x14ac:dyDescent="0.25">
      <c r="A21" s="77" t="s">
        <v>17</v>
      </c>
      <c r="B21" s="78"/>
      <c r="C21" s="85">
        <v>46296</v>
      </c>
      <c r="D21" s="86"/>
      <c r="I21" s="21"/>
    </row>
    <row r="22" spans="1:10" x14ac:dyDescent="0.25">
      <c r="A22" s="77" t="s">
        <v>18</v>
      </c>
      <c r="B22" s="78"/>
      <c r="C22" s="87">
        <v>0.13</v>
      </c>
      <c r="D22" s="88"/>
    </row>
    <row r="23" spans="1:10" x14ac:dyDescent="0.25">
      <c r="A23" s="77" t="s">
        <v>19</v>
      </c>
      <c r="B23" s="78"/>
      <c r="C23" s="79">
        <f>C15-C21</f>
        <v>-8</v>
      </c>
      <c r="D23" s="80"/>
    </row>
    <row r="24" spans="1:10" x14ac:dyDescent="0.25">
      <c r="A24" s="77" t="s">
        <v>20</v>
      </c>
      <c r="B24" s="78"/>
      <c r="C24" s="79">
        <v>100</v>
      </c>
      <c r="D24" s="80"/>
    </row>
    <row r="25" spans="1:10" x14ac:dyDescent="0.25">
      <c r="A25" s="77" t="s">
        <v>21</v>
      </c>
      <c r="B25" s="78"/>
      <c r="C25" s="81">
        <f>10000*C24</f>
        <v>1000000</v>
      </c>
      <c r="D25" s="82"/>
    </row>
    <row r="26" spans="1:10" x14ac:dyDescent="0.25">
      <c r="A26" s="66" t="s">
        <v>22</v>
      </c>
      <c r="B26" s="67"/>
      <c r="C26" s="73">
        <f>C25*C17/100</f>
        <v>1000000</v>
      </c>
      <c r="D26" s="74"/>
    </row>
    <row r="27" spans="1:10" x14ac:dyDescent="0.25">
      <c r="A27" s="66" t="s">
        <v>23</v>
      </c>
      <c r="B27" s="67"/>
      <c r="C27" s="75">
        <f>C25*C22*C23/365</f>
        <v>-2849.3150684931506</v>
      </c>
      <c r="D27" s="76"/>
    </row>
    <row r="28" spans="1:10" x14ac:dyDescent="0.25">
      <c r="A28" s="66" t="s">
        <v>24</v>
      </c>
      <c r="B28" s="67"/>
      <c r="C28" s="136">
        <v>1</v>
      </c>
      <c r="D28" s="137"/>
    </row>
    <row r="29" spans="1:10" x14ac:dyDescent="0.25">
      <c r="A29" s="66" t="s">
        <v>25</v>
      </c>
      <c r="B29" s="67"/>
      <c r="C29" s="136">
        <f>C26+C27+C28</f>
        <v>997151.68493150687</v>
      </c>
      <c r="D29" s="137"/>
    </row>
    <row r="30" spans="1:10" x14ac:dyDescent="0.25">
      <c r="A30" s="22" t="s">
        <v>26</v>
      </c>
      <c r="B30" s="23" t="s">
        <v>27</v>
      </c>
      <c r="C30" s="24" t="s">
        <v>28</v>
      </c>
      <c r="D30" s="25"/>
      <c r="F30" s="26"/>
    </row>
    <row r="31" spans="1:10" x14ac:dyDescent="0.25">
      <c r="A31" s="22" t="s">
        <v>29</v>
      </c>
      <c r="B31" s="27" t="s">
        <v>30</v>
      </c>
      <c r="C31" s="28" t="s">
        <v>31</v>
      </c>
      <c r="D31" s="25" t="s">
        <v>32</v>
      </c>
    </row>
    <row r="32" spans="1:10" x14ac:dyDescent="0.25">
      <c r="A32" s="29" t="s">
        <v>33</v>
      </c>
      <c r="B32" s="30" t="s">
        <v>34</v>
      </c>
      <c r="C32" s="31" t="s">
        <v>35</v>
      </c>
      <c r="D32" s="32" t="s">
        <v>34</v>
      </c>
    </row>
    <row r="33" spans="1:9" x14ac:dyDescent="0.25">
      <c r="A33" s="22" t="s">
        <v>36</v>
      </c>
      <c r="B33" s="33" t="s">
        <v>37</v>
      </c>
      <c r="C33" s="28" t="s">
        <v>38</v>
      </c>
      <c r="D33" s="34">
        <v>8715962</v>
      </c>
    </row>
    <row r="34" spans="1:9" ht="14.25" customHeight="1" x14ac:dyDescent="0.25">
      <c r="A34" s="22" t="s">
        <v>39</v>
      </c>
      <c r="B34" s="33">
        <v>2627118</v>
      </c>
      <c r="C34" s="28" t="s">
        <v>40</v>
      </c>
      <c r="D34" s="34" t="s">
        <v>41</v>
      </c>
    </row>
    <row r="35" spans="1:9" ht="78" customHeight="1" x14ac:dyDescent="0.25">
      <c r="A35" s="121" t="s">
        <v>42</v>
      </c>
      <c r="B35" s="122"/>
      <c r="C35" s="122"/>
      <c r="D35" s="123"/>
      <c r="I35" s="35"/>
    </row>
    <row r="36" spans="1:9" ht="33.75" customHeight="1" x14ac:dyDescent="0.25">
      <c r="A36" s="124" t="s">
        <v>43</v>
      </c>
      <c r="B36" s="125"/>
      <c r="C36" s="125"/>
      <c r="D36" s="126"/>
      <c r="I36" s="35"/>
    </row>
    <row r="37" spans="1:9" x14ac:dyDescent="0.25">
      <c r="A37" s="14" t="s">
        <v>44</v>
      </c>
      <c r="B37" s="15"/>
      <c r="C37" s="4"/>
      <c r="D37" s="5"/>
    </row>
    <row r="38" spans="1:9" x14ac:dyDescent="0.25">
      <c r="A38" s="70"/>
      <c r="B38" s="15"/>
      <c r="C38" s="4"/>
      <c r="D38" s="5"/>
    </row>
    <row r="39" spans="1:9" x14ac:dyDescent="0.25">
      <c r="A39" s="70"/>
      <c r="B39" s="4"/>
      <c r="C39" s="71" t="str">
        <f>A7</f>
        <v>Counterparty Name-</v>
      </c>
      <c r="D39" s="72"/>
    </row>
    <row r="40" spans="1:9" x14ac:dyDescent="0.25">
      <c r="A40" s="6" t="s">
        <v>45</v>
      </c>
      <c r="B40" s="4"/>
      <c r="C40" s="7" t="s">
        <v>45</v>
      </c>
      <c r="D40" s="5"/>
    </row>
    <row r="41" spans="1:9" x14ac:dyDescent="0.25">
      <c r="A41" s="6"/>
      <c r="B41" s="4"/>
      <c r="C41" s="7"/>
      <c r="D41" s="5"/>
    </row>
    <row r="42" spans="1:9" ht="15.75" thickBot="1" x14ac:dyDescent="0.3">
      <c r="A42" s="36"/>
      <c r="B42" s="37"/>
      <c r="C42" s="38"/>
      <c r="D42" s="39"/>
    </row>
    <row r="43" spans="1:9" x14ac:dyDescent="0.25">
      <c r="A43" s="4"/>
      <c r="B43" s="4"/>
      <c r="C43" s="4"/>
      <c r="D43" s="4"/>
    </row>
  </sheetData>
  <mergeCells count="43">
    <mergeCell ref="A13:B13"/>
    <mergeCell ref="C13:D13"/>
    <mergeCell ref="A1:D3"/>
    <mergeCell ref="A7:D7"/>
    <mergeCell ref="A8:D8"/>
    <mergeCell ref="A12:B12"/>
    <mergeCell ref="C12:D12"/>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5:D35"/>
    <mergeCell ref="A36:D36"/>
    <mergeCell ref="A38:A39"/>
    <mergeCell ref="C39:D39"/>
  </mergeCells>
  <pageMargins left="0.7" right="0.7" top="0.75" bottom="0.75" header="0.3" footer="0.3"/>
  <pageSetup scale="95"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E73A2-EA7E-436B-B7E5-137A02DE780C}">
  <dimension ref="A1:J46"/>
  <sheetViews>
    <sheetView workbookViewId="0">
      <selection activeCell="I24" sqref="I24"/>
    </sheetView>
  </sheetViews>
  <sheetFormatPr defaultColWidth="9" defaultRowHeight="15" x14ac:dyDescent="0.25"/>
  <cols>
    <col min="1" max="1" width="18.85546875" customWidth="1"/>
    <col min="2" max="2" width="25.85546875" customWidth="1"/>
    <col min="3" max="3" width="17.140625" customWidth="1"/>
    <col min="4" max="4" width="28.42578125" customWidth="1"/>
    <col min="6" max="6" width="13.140625" customWidth="1"/>
    <col min="9" max="9" width="11.5703125" customWidth="1"/>
  </cols>
  <sheetData>
    <row r="1" spans="1:9" ht="18" customHeight="1" x14ac:dyDescent="0.25">
      <c r="A1" s="107"/>
      <c r="B1" s="108"/>
      <c r="C1" s="108"/>
      <c r="D1" s="109"/>
    </row>
    <row r="2" spans="1:9" ht="19.5" customHeight="1" x14ac:dyDescent="0.25">
      <c r="A2" s="110"/>
      <c r="B2" s="111"/>
      <c r="C2" s="111"/>
      <c r="D2" s="112"/>
    </row>
    <row r="3" spans="1:9" ht="15.75" thickBot="1" x14ac:dyDescent="0.3">
      <c r="A3" s="113"/>
      <c r="B3" s="114"/>
      <c r="C3" s="114"/>
      <c r="D3" s="115"/>
    </row>
    <row r="4" spans="1:9" ht="17.25" customHeight="1" x14ac:dyDescent="0.25">
      <c r="A4" s="2">
        <v>46287</v>
      </c>
      <c r="B4" s="3"/>
      <c r="C4" s="4"/>
      <c r="D4" s="5"/>
    </row>
    <row r="5" spans="1:9" x14ac:dyDescent="0.25">
      <c r="A5" s="6" t="s">
        <v>57</v>
      </c>
      <c r="B5" s="7"/>
      <c r="C5" s="4"/>
      <c r="D5" s="5"/>
    </row>
    <row r="6" spans="1:9" ht="17.25" customHeight="1" x14ac:dyDescent="0.25">
      <c r="A6" s="6"/>
      <c r="B6" s="7"/>
      <c r="C6" s="4"/>
      <c r="D6" s="5"/>
    </row>
    <row r="7" spans="1:9" ht="16.5" x14ac:dyDescent="0.25">
      <c r="A7" s="116" t="s">
        <v>46</v>
      </c>
      <c r="B7" s="117"/>
      <c r="C7" s="117"/>
      <c r="D7" s="118"/>
    </row>
    <row r="8" spans="1:9" ht="16.5" x14ac:dyDescent="0.25">
      <c r="A8" s="40" t="s">
        <v>56</v>
      </c>
      <c r="B8" s="41"/>
      <c r="C8" s="41"/>
      <c r="D8" s="42"/>
    </row>
    <row r="9" spans="1:9" ht="18.75" x14ac:dyDescent="0.25">
      <c r="A9" s="8"/>
      <c r="B9" s="9"/>
      <c r="C9" s="9"/>
      <c r="D9" s="10"/>
    </row>
    <row r="10" spans="1:9" x14ac:dyDescent="0.25">
      <c r="A10" s="14" t="s">
        <v>1</v>
      </c>
      <c r="B10" s="15"/>
      <c r="C10" s="4"/>
      <c r="D10" s="5"/>
    </row>
    <row r="11" spans="1:9" x14ac:dyDescent="0.25">
      <c r="A11" s="14" t="s">
        <v>2</v>
      </c>
      <c r="B11" s="15"/>
      <c r="C11" s="4"/>
      <c r="D11" s="5"/>
    </row>
    <row r="12" spans="1:9" x14ac:dyDescent="0.25">
      <c r="A12" s="99" t="s">
        <v>3</v>
      </c>
      <c r="B12" s="100"/>
      <c r="C12" s="119" t="s">
        <v>48</v>
      </c>
      <c r="D12" s="120"/>
      <c r="G12" s="16"/>
    </row>
    <row r="13" spans="1:9" x14ac:dyDescent="0.25">
      <c r="A13" s="99" t="s">
        <v>5</v>
      </c>
      <c r="B13" s="100"/>
      <c r="C13" s="85" t="s">
        <v>6</v>
      </c>
      <c r="D13" s="86"/>
      <c r="G13" s="17"/>
    </row>
    <row r="14" spans="1:9" x14ac:dyDescent="0.25">
      <c r="A14" s="99" t="s">
        <v>7</v>
      </c>
      <c r="B14" s="100"/>
      <c r="C14" s="101">
        <v>46288</v>
      </c>
      <c r="D14" s="102"/>
      <c r="I14" s="18"/>
    </row>
    <row r="15" spans="1:9" x14ac:dyDescent="0.25">
      <c r="A15" s="89" t="s">
        <v>8</v>
      </c>
      <c r="B15" s="90"/>
      <c r="C15" s="103">
        <v>46288</v>
      </c>
      <c r="D15" s="104"/>
      <c r="F15" s="19"/>
    </row>
    <row r="16" spans="1:9" x14ac:dyDescent="0.25">
      <c r="A16" s="89" t="s">
        <v>9</v>
      </c>
      <c r="B16" s="90"/>
      <c r="C16" s="105" t="s">
        <v>10</v>
      </c>
      <c r="D16" s="106"/>
    </row>
    <row r="17" spans="1:10" x14ac:dyDescent="0.25">
      <c r="A17" s="89" t="s">
        <v>11</v>
      </c>
      <c r="B17" s="90"/>
      <c r="C17" s="91">
        <v>100</v>
      </c>
      <c r="D17" s="92"/>
      <c r="H17" s="17"/>
      <c r="J17" s="17"/>
    </row>
    <row r="18" spans="1:10" ht="15" customHeight="1" x14ac:dyDescent="0.25">
      <c r="A18" s="93" t="s">
        <v>12</v>
      </c>
      <c r="B18" s="94"/>
      <c r="C18" s="95" t="s">
        <v>13</v>
      </c>
      <c r="D18" s="96"/>
      <c r="H18" s="17"/>
      <c r="J18" s="17"/>
    </row>
    <row r="19" spans="1:10" x14ac:dyDescent="0.25">
      <c r="A19" s="77" t="s">
        <v>49</v>
      </c>
      <c r="B19" s="78"/>
      <c r="C19" s="97">
        <v>46871</v>
      </c>
      <c r="D19" s="98"/>
      <c r="F19" s="20"/>
    </row>
    <row r="20" spans="1:10" x14ac:dyDescent="0.25">
      <c r="A20" s="77" t="s">
        <v>50</v>
      </c>
      <c r="B20" s="78"/>
      <c r="C20" s="83" t="s">
        <v>58</v>
      </c>
      <c r="D20" s="84"/>
    </row>
    <row r="21" spans="1:10" x14ac:dyDescent="0.25">
      <c r="A21" s="77" t="s">
        <v>17</v>
      </c>
      <c r="B21" s="78"/>
      <c r="C21" s="85">
        <v>46296</v>
      </c>
      <c r="D21" s="86"/>
      <c r="I21" s="21"/>
    </row>
    <row r="22" spans="1:10" x14ac:dyDescent="0.25">
      <c r="A22" s="77" t="s">
        <v>18</v>
      </c>
      <c r="B22" s="78"/>
      <c r="C22" s="87">
        <v>0.13</v>
      </c>
      <c r="D22" s="88"/>
    </row>
    <row r="23" spans="1:10" x14ac:dyDescent="0.25">
      <c r="A23" s="77" t="s">
        <v>51</v>
      </c>
      <c r="B23" s="78"/>
      <c r="C23" s="79">
        <f>C15-C21</f>
        <v>-8</v>
      </c>
      <c r="D23" s="80"/>
    </row>
    <row r="24" spans="1:10" x14ac:dyDescent="0.25">
      <c r="A24" s="77" t="s">
        <v>52</v>
      </c>
      <c r="B24" s="78"/>
      <c r="C24" s="79">
        <v>100</v>
      </c>
      <c r="D24" s="80"/>
    </row>
    <row r="25" spans="1:10" x14ac:dyDescent="0.25">
      <c r="A25" s="77" t="s">
        <v>53</v>
      </c>
      <c r="B25" s="78"/>
      <c r="C25" s="81">
        <f>10000*C24</f>
        <v>1000000</v>
      </c>
      <c r="D25" s="82"/>
    </row>
    <row r="26" spans="1:10" x14ac:dyDescent="0.25">
      <c r="A26" s="66" t="s">
        <v>54</v>
      </c>
      <c r="B26" s="67"/>
      <c r="C26" s="73">
        <f>C25*C17/100</f>
        <v>1000000</v>
      </c>
      <c r="D26" s="74"/>
    </row>
    <row r="27" spans="1:10" x14ac:dyDescent="0.25">
      <c r="A27" s="66" t="s">
        <v>23</v>
      </c>
      <c r="B27" s="67"/>
      <c r="C27" s="75">
        <f>C25*C22*C23/365</f>
        <v>-2849.3150684931506</v>
      </c>
      <c r="D27" s="76"/>
    </row>
    <row r="28" spans="1:10" ht="17.25" x14ac:dyDescent="0.4">
      <c r="A28" s="66" t="s">
        <v>55</v>
      </c>
      <c r="B28" s="67"/>
      <c r="C28" s="68">
        <v>1</v>
      </c>
      <c r="D28" s="69"/>
      <c r="F28" s="26"/>
    </row>
    <row r="29" spans="1:10" ht="17.25" x14ac:dyDescent="0.4">
      <c r="A29" s="66" t="s">
        <v>25</v>
      </c>
      <c r="B29" s="67"/>
      <c r="C29" s="68">
        <f>C26+C27+C28</f>
        <v>997151.68493150687</v>
      </c>
      <c r="D29" s="69"/>
    </row>
    <row r="30" spans="1:10" x14ac:dyDescent="0.25">
      <c r="A30" s="22" t="s">
        <v>26</v>
      </c>
      <c r="B30" s="23" t="s">
        <v>27</v>
      </c>
      <c r="C30" s="24" t="s">
        <v>28</v>
      </c>
      <c r="D30" s="25"/>
    </row>
    <row r="31" spans="1:10" x14ac:dyDescent="0.25">
      <c r="A31" s="22" t="s">
        <v>29</v>
      </c>
      <c r="B31" s="27" t="s">
        <v>30</v>
      </c>
      <c r="C31" s="28" t="s">
        <v>31</v>
      </c>
      <c r="D31" s="25" t="s">
        <v>32</v>
      </c>
    </row>
    <row r="32" spans="1:10" x14ac:dyDescent="0.25">
      <c r="A32" s="43" t="s">
        <v>33</v>
      </c>
      <c r="B32" s="44" t="s">
        <v>34</v>
      </c>
      <c r="C32" s="31" t="s">
        <v>35</v>
      </c>
      <c r="D32" s="45" t="s">
        <v>34</v>
      </c>
    </row>
    <row r="33" spans="1:4" x14ac:dyDescent="0.25">
      <c r="A33" s="22" t="s">
        <v>36</v>
      </c>
      <c r="B33" s="33" t="s">
        <v>37</v>
      </c>
      <c r="C33" s="28" t="s">
        <v>38</v>
      </c>
      <c r="D33" s="34">
        <v>8715962</v>
      </c>
    </row>
    <row r="34" spans="1:4" x14ac:dyDescent="0.25">
      <c r="A34" s="22" t="s">
        <v>39</v>
      </c>
      <c r="B34" s="33">
        <v>2627118</v>
      </c>
      <c r="C34" s="28" t="s">
        <v>40</v>
      </c>
      <c r="D34" s="34" t="s">
        <v>41</v>
      </c>
    </row>
    <row r="35" spans="1:4" x14ac:dyDescent="0.25">
      <c r="A35" s="14" t="s">
        <v>44</v>
      </c>
      <c r="B35" s="15"/>
      <c r="C35" s="4"/>
      <c r="D35" s="5"/>
    </row>
    <row r="36" spans="1:4" x14ac:dyDescent="0.25">
      <c r="A36" s="70"/>
      <c r="B36" s="15"/>
      <c r="C36" s="4"/>
      <c r="D36" s="5"/>
    </row>
    <row r="37" spans="1:4" x14ac:dyDescent="0.25">
      <c r="A37" s="70"/>
      <c r="B37" s="4"/>
      <c r="C37" s="71" t="str">
        <f>A7</f>
        <v>Counterparty Name-</v>
      </c>
      <c r="D37" s="72"/>
    </row>
    <row r="38" spans="1:4" x14ac:dyDescent="0.25">
      <c r="A38" s="6" t="s">
        <v>45</v>
      </c>
      <c r="B38" s="4"/>
      <c r="C38" s="7" t="s">
        <v>45</v>
      </c>
      <c r="D38" s="5"/>
    </row>
    <row r="39" spans="1:4" x14ac:dyDescent="0.25">
      <c r="A39" s="6"/>
      <c r="B39" s="4"/>
      <c r="C39" s="7"/>
      <c r="D39" s="5"/>
    </row>
    <row r="40" spans="1:4" x14ac:dyDescent="0.25">
      <c r="A40" s="6"/>
      <c r="B40" s="4"/>
      <c r="C40" s="7"/>
      <c r="D40" s="5"/>
    </row>
    <row r="41" spans="1:4" x14ac:dyDescent="0.25">
      <c r="A41" s="6"/>
      <c r="B41" s="4"/>
      <c r="C41" s="7"/>
      <c r="D41" s="5"/>
    </row>
    <row r="42" spans="1:4" x14ac:dyDescent="0.25">
      <c r="A42" s="6"/>
      <c r="B42" s="4"/>
      <c r="C42" s="7"/>
      <c r="D42" s="5"/>
    </row>
    <row r="43" spans="1:4" x14ac:dyDescent="0.25">
      <c r="A43" s="6"/>
      <c r="B43" s="4"/>
      <c r="C43" s="7"/>
      <c r="D43" s="5"/>
    </row>
    <row r="44" spans="1:4" ht="17.25" customHeight="1" x14ac:dyDescent="0.25">
      <c r="A44" s="6"/>
      <c r="B44" s="4"/>
      <c r="C44" s="7"/>
      <c r="D44" s="5"/>
    </row>
    <row r="45" spans="1:4" ht="15.75" thickBot="1" x14ac:dyDescent="0.3">
      <c r="A45" s="36"/>
      <c r="B45" s="37"/>
      <c r="C45" s="38"/>
      <c r="D45" s="39"/>
    </row>
    <row r="46" spans="1:4" x14ac:dyDescent="0.25">
      <c r="A46" s="4"/>
      <c r="B46" s="4"/>
      <c r="C46" s="4"/>
      <c r="D46" s="4"/>
    </row>
  </sheetData>
  <mergeCells count="40">
    <mergeCell ref="A1:D3"/>
    <mergeCell ref="A7:D7"/>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9:B29"/>
    <mergeCell ref="C29:D29"/>
    <mergeCell ref="A36:A37"/>
    <mergeCell ref="C37:D37"/>
    <mergeCell ref="A26:B26"/>
    <mergeCell ref="C26:D26"/>
    <mergeCell ref="A27:B27"/>
    <mergeCell ref="C27:D27"/>
    <mergeCell ref="A28:B28"/>
    <mergeCell ref="C28:D2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F6650-EC26-4812-8C96-465AB7505F6A}">
  <dimension ref="A1:J45"/>
  <sheetViews>
    <sheetView topLeftCell="A7" workbookViewId="0">
      <selection activeCell="G25" sqref="G25"/>
    </sheetView>
  </sheetViews>
  <sheetFormatPr defaultColWidth="9" defaultRowHeight="15" x14ac:dyDescent="0.25"/>
  <cols>
    <col min="1" max="1" width="18.42578125" customWidth="1"/>
    <col min="2" max="2" width="25.42578125" customWidth="1"/>
    <col min="3" max="3" width="23.42578125" customWidth="1"/>
    <col min="4" max="4" width="20.5703125" customWidth="1"/>
    <col min="6" max="6" width="13.140625" customWidth="1"/>
    <col min="9" max="9" width="11.5703125" customWidth="1"/>
  </cols>
  <sheetData>
    <row r="1" spans="1:9" ht="18" customHeight="1" x14ac:dyDescent="0.25">
      <c r="A1" s="107"/>
      <c r="B1" s="108"/>
      <c r="C1" s="108"/>
      <c r="D1" s="109"/>
    </row>
    <row r="2" spans="1:9" ht="18" customHeight="1" x14ac:dyDescent="0.25">
      <c r="A2" s="110"/>
      <c r="B2" s="111"/>
      <c r="C2" s="111"/>
      <c r="D2" s="112"/>
    </row>
    <row r="3" spans="1:9" ht="15.75" thickBot="1" x14ac:dyDescent="0.3">
      <c r="A3" s="113"/>
      <c r="B3" s="114"/>
      <c r="C3" s="114"/>
      <c r="D3" s="115"/>
    </row>
    <row r="4" spans="1:9" x14ac:dyDescent="0.25">
      <c r="A4" s="2">
        <v>46288</v>
      </c>
      <c r="B4" s="3"/>
      <c r="C4" s="4"/>
      <c r="D4" s="5"/>
    </row>
    <row r="5" spans="1:9" x14ac:dyDescent="0.25">
      <c r="A5" s="6" t="s">
        <v>57</v>
      </c>
      <c r="B5" s="7"/>
      <c r="C5" s="4"/>
      <c r="D5" s="5"/>
    </row>
    <row r="6" spans="1:9" ht="17.25" customHeight="1" x14ac:dyDescent="0.25">
      <c r="A6" s="6"/>
      <c r="B6" s="7"/>
      <c r="C6" s="4"/>
      <c r="D6" s="5"/>
    </row>
    <row r="7" spans="1:9" ht="18.75" x14ac:dyDescent="0.25">
      <c r="A7" s="138"/>
      <c r="B7" s="139"/>
      <c r="C7" s="139"/>
      <c r="D7" s="140"/>
    </row>
    <row r="8" spans="1:9" ht="18.75" x14ac:dyDescent="0.25">
      <c r="A8" s="8"/>
      <c r="B8" s="9"/>
      <c r="C8" s="9"/>
      <c r="D8" s="10"/>
    </row>
    <row r="9" spans="1:9" ht="16.5" x14ac:dyDescent="0.25">
      <c r="A9" s="40"/>
      <c r="B9" s="41"/>
      <c r="C9" s="41"/>
      <c r="D9" s="42"/>
    </row>
    <row r="10" spans="1:9" x14ac:dyDescent="0.25">
      <c r="A10" s="14" t="s">
        <v>1</v>
      </c>
      <c r="B10" s="15"/>
      <c r="C10" s="4"/>
      <c r="D10" s="5"/>
    </row>
    <row r="11" spans="1:9" x14ac:dyDescent="0.25">
      <c r="A11" s="14" t="s">
        <v>2</v>
      </c>
      <c r="B11" s="15"/>
      <c r="C11" s="4"/>
      <c r="D11" s="5"/>
    </row>
    <row r="12" spans="1:9" x14ac:dyDescent="0.25">
      <c r="A12" s="99" t="s">
        <v>3</v>
      </c>
      <c r="B12" s="100"/>
      <c r="C12" s="119" t="s">
        <v>48</v>
      </c>
      <c r="D12" s="120"/>
      <c r="G12" s="16"/>
    </row>
    <row r="13" spans="1:9" x14ac:dyDescent="0.25">
      <c r="A13" s="99" t="s">
        <v>5</v>
      </c>
      <c r="B13" s="100"/>
      <c r="C13" s="85" t="s">
        <v>78</v>
      </c>
      <c r="D13" s="86"/>
      <c r="G13" s="17"/>
    </row>
    <row r="14" spans="1:9" x14ac:dyDescent="0.25">
      <c r="A14" s="99" t="s">
        <v>7</v>
      </c>
      <c r="B14" s="100"/>
      <c r="C14" s="101">
        <v>46288</v>
      </c>
      <c r="D14" s="102"/>
      <c r="I14" s="18"/>
    </row>
    <row r="15" spans="1:9" x14ac:dyDescent="0.25">
      <c r="A15" s="89" t="s">
        <v>8</v>
      </c>
      <c r="B15" s="90"/>
      <c r="C15" s="103">
        <v>46288</v>
      </c>
      <c r="D15" s="104"/>
      <c r="F15" s="19"/>
      <c r="I15" s="16"/>
    </row>
    <row r="16" spans="1:9" x14ac:dyDescent="0.25">
      <c r="A16" s="89" t="s">
        <v>9</v>
      </c>
      <c r="B16" s="90"/>
      <c r="C16" s="105" t="s">
        <v>79</v>
      </c>
      <c r="D16" s="106"/>
      <c r="I16" s="16"/>
    </row>
    <row r="17" spans="1:10" x14ac:dyDescent="0.25">
      <c r="A17" s="89" t="s">
        <v>11</v>
      </c>
      <c r="B17" s="90"/>
      <c r="C17" s="149">
        <v>100</v>
      </c>
      <c r="D17" s="150"/>
      <c r="H17" s="17"/>
      <c r="J17" s="17"/>
    </row>
    <row r="18" spans="1:10" ht="15" customHeight="1" x14ac:dyDescent="0.25">
      <c r="A18" s="93" t="s">
        <v>12</v>
      </c>
      <c r="B18" s="94"/>
      <c r="C18" s="95" t="s">
        <v>80</v>
      </c>
      <c r="D18" s="96"/>
      <c r="H18" s="17"/>
      <c r="J18" s="17"/>
    </row>
    <row r="19" spans="1:10" x14ac:dyDescent="0.25">
      <c r="A19" s="77" t="s">
        <v>49</v>
      </c>
      <c r="B19" s="78"/>
      <c r="C19" s="97">
        <v>58859</v>
      </c>
      <c r="D19" s="98"/>
      <c r="F19" s="20"/>
    </row>
    <row r="20" spans="1:10" x14ac:dyDescent="0.25">
      <c r="A20" s="77" t="s">
        <v>81</v>
      </c>
      <c r="B20" s="78"/>
      <c r="C20" s="83" t="s">
        <v>82</v>
      </c>
      <c r="D20" s="84"/>
    </row>
    <row r="21" spans="1:10" x14ac:dyDescent="0.25">
      <c r="A21" s="77" t="s">
        <v>83</v>
      </c>
      <c r="B21" s="78"/>
      <c r="C21" s="85">
        <v>46256</v>
      </c>
      <c r="D21" s="86"/>
      <c r="I21" s="21"/>
    </row>
    <row r="22" spans="1:10" x14ac:dyDescent="0.25">
      <c r="A22" s="77" t="s">
        <v>18</v>
      </c>
      <c r="B22" s="78"/>
      <c r="C22" s="87">
        <v>6.7599999999999993E-2</v>
      </c>
      <c r="D22" s="88"/>
    </row>
    <row r="23" spans="1:10" x14ac:dyDescent="0.25">
      <c r="A23" s="77" t="s">
        <v>19</v>
      </c>
      <c r="B23" s="78"/>
      <c r="C23" s="79">
        <f>COUPDAYBS(C15,C19,2,4)</f>
        <v>31</v>
      </c>
      <c r="D23" s="80"/>
      <c r="H23" s="57"/>
    </row>
    <row r="24" spans="1:10" x14ac:dyDescent="0.25">
      <c r="A24" s="77" t="s">
        <v>20</v>
      </c>
      <c r="B24" s="78"/>
      <c r="C24" s="79">
        <v>10000</v>
      </c>
      <c r="D24" s="80"/>
    </row>
    <row r="25" spans="1:10" x14ac:dyDescent="0.25">
      <c r="A25" s="77" t="s">
        <v>21</v>
      </c>
      <c r="B25" s="78"/>
      <c r="C25" s="81">
        <f>100*C24</f>
        <v>1000000</v>
      </c>
      <c r="D25" s="82"/>
    </row>
    <row r="26" spans="1:10" x14ac:dyDescent="0.25">
      <c r="A26" s="66" t="s">
        <v>54</v>
      </c>
      <c r="B26" s="67"/>
      <c r="C26" s="73">
        <f>C25*C17/100</f>
        <v>1000000</v>
      </c>
      <c r="D26" s="74"/>
    </row>
    <row r="27" spans="1:10" x14ac:dyDescent="0.25">
      <c r="A27" s="127" t="s">
        <v>23</v>
      </c>
      <c r="B27" s="128"/>
      <c r="C27" s="147">
        <f>C25*C22*C23/360</f>
        <v>5821.1111111111113</v>
      </c>
      <c r="D27" s="148"/>
    </row>
    <row r="28" spans="1:10" ht="17.25" x14ac:dyDescent="0.4">
      <c r="A28" s="66" t="s">
        <v>63</v>
      </c>
      <c r="B28" s="67"/>
      <c r="C28" s="68">
        <f>C26+C27</f>
        <v>1005821.1111111111</v>
      </c>
      <c r="D28" s="69"/>
    </row>
    <row r="29" spans="1:10" x14ac:dyDescent="0.25">
      <c r="A29" s="141" t="s">
        <v>84</v>
      </c>
      <c r="B29" s="142"/>
      <c r="C29" s="143">
        <v>0</v>
      </c>
      <c r="D29" s="144"/>
    </row>
    <row r="30" spans="1:10" x14ac:dyDescent="0.25">
      <c r="A30" s="141" t="s">
        <v>85</v>
      </c>
      <c r="B30" s="142"/>
      <c r="C30" s="145">
        <f>C28-C29</f>
        <v>1005821.1111111111</v>
      </c>
      <c r="D30" s="146"/>
    </row>
    <row r="31" spans="1:10" x14ac:dyDescent="0.25">
      <c r="A31" s="22" t="s">
        <v>26</v>
      </c>
      <c r="B31" s="23" t="s">
        <v>27</v>
      </c>
      <c r="C31" s="24" t="s">
        <v>28</v>
      </c>
      <c r="D31" s="34"/>
    </row>
    <row r="32" spans="1:10" ht="24" x14ac:dyDescent="0.25">
      <c r="A32" s="58" t="s">
        <v>86</v>
      </c>
      <c r="B32" s="30" t="s">
        <v>87</v>
      </c>
      <c r="C32" s="30" t="s">
        <v>88</v>
      </c>
      <c r="D32" s="59"/>
    </row>
    <row r="33" spans="1:4" x14ac:dyDescent="0.25">
      <c r="A33" s="60" t="s">
        <v>89</v>
      </c>
      <c r="B33" s="27" t="s">
        <v>90</v>
      </c>
      <c r="C33" s="27" t="s">
        <v>91</v>
      </c>
      <c r="D33" s="61"/>
    </row>
    <row r="34" spans="1:4" x14ac:dyDescent="0.25">
      <c r="A34" s="60" t="s">
        <v>92</v>
      </c>
      <c r="B34" s="62">
        <v>10762882</v>
      </c>
      <c r="C34" s="27" t="s">
        <v>31</v>
      </c>
      <c r="D34" s="63"/>
    </row>
    <row r="35" spans="1:4" x14ac:dyDescent="0.25">
      <c r="A35" s="22" t="s">
        <v>93</v>
      </c>
      <c r="B35" s="54">
        <v>13472320000772</v>
      </c>
      <c r="C35" s="33" t="s">
        <v>38</v>
      </c>
      <c r="D35" s="64"/>
    </row>
    <row r="36" spans="1:4" x14ac:dyDescent="0.25">
      <c r="A36" s="14" t="s">
        <v>44</v>
      </c>
      <c r="B36" s="15"/>
      <c r="C36" s="4"/>
      <c r="D36" s="5"/>
    </row>
    <row r="37" spans="1:4" x14ac:dyDescent="0.25">
      <c r="A37" s="70"/>
      <c r="B37" s="15"/>
      <c r="C37" s="4"/>
      <c r="D37" s="5"/>
    </row>
    <row r="38" spans="1:4" x14ac:dyDescent="0.25">
      <c r="A38" s="70"/>
      <c r="B38" s="4"/>
      <c r="C38" s="71">
        <f>A7</f>
        <v>0</v>
      </c>
      <c r="D38" s="72"/>
    </row>
    <row r="39" spans="1:4" x14ac:dyDescent="0.25">
      <c r="A39" s="6" t="s">
        <v>45</v>
      </c>
      <c r="B39" s="4"/>
      <c r="C39" s="7" t="s">
        <v>45</v>
      </c>
      <c r="D39" s="5"/>
    </row>
    <row r="40" spans="1:4" x14ac:dyDescent="0.25">
      <c r="A40" s="6"/>
      <c r="B40" s="4"/>
      <c r="C40" s="7"/>
      <c r="D40" s="5"/>
    </row>
    <row r="41" spans="1:4" x14ac:dyDescent="0.25">
      <c r="A41" s="6"/>
      <c r="B41" s="4"/>
      <c r="C41" s="7"/>
      <c r="D41" s="5"/>
    </row>
    <row r="42" spans="1:4" x14ac:dyDescent="0.25">
      <c r="A42" s="6"/>
      <c r="B42" s="4"/>
      <c r="C42" s="7"/>
      <c r="D42" s="5"/>
    </row>
    <row r="43" spans="1:4" x14ac:dyDescent="0.25">
      <c r="A43" s="6"/>
      <c r="B43" s="4"/>
      <c r="C43" s="7"/>
      <c r="D43" s="5"/>
    </row>
    <row r="44" spans="1:4" x14ac:dyDescent="0.25">
      <c r="A44" s="6"/>
      <c r="B44" s="4"/>
      <c r="C44" s="7"/>
      <c r="D44" s="5"/>
    </row>
    <row r="45" spans="1:4" ht="15.75" thickBot="1" x14ac:dyDescent="0.3">
      <c r="A45" s="36"/>
      <c r="B45" s="38"/>
      <c r="C45" s="38"/>
      <c r="D45" s="65"/>
    </row>
  </sheetData>
  <mergeCells count="42">
    <mergeCell ref="A1:D3"/>
    <mergeCell ref="A7:D7"/>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C30:D30"/>
    <mergeCell ref="A37:A38"/>
    <mergeCell ref="C38:D38"/>
  </mergeCells>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5433-45E8-4456-A6F6-0B164D235CA4}">
  <dimension ref="A1:D46"/>
  <sheetViews>
    <sheetView tabSelected="1" workbookViewId="0">
      <selection activeCell="I34" sqref="I34"/>
    </sheetView>
  </sheetViews>
  <sheetFormatPr defaultRowHeight="15" x14ac:dyDescent="0.25"/>
  <cols>
    <col min="1" max="1" width="33.28515625" customWidth="1"/>
    <col min="2" max="2" width="20.85546875" customWidth="1"/>
    <col min="3" max="3" width="19.85546875" customWidth="1"/>
    <col min="4" max="4" width="21.28515625" customWidth="1"/>
  </cols>
  <sheetData>
    <row r="1" spans="1:4" x14ac:dyDescent="0.25">
      <c r="A1" s="107"/>
      <c r="B1" s="108"/>
      <c r="C1" s="108"/>
      <c r="D1" s="109"/>
    </row>
    <row r="2" spans="1:4" x14ac:dyDescent="0.25">
      <c r="A2" s="110"/>
      <c r="B2" s="111"/>
      <c r="C2" s="111"/>
      <c r="D2" s="112"/>
    </row>
    <row r="3" spans="1:4" ht="15.75" thickBot="1" x14ac:dyDescent="0.3">
      <c r="A3" s="113"/>
      <c r="B3" s="114"/>
      <c r="C3" s="114"/>
      <c r="D3" s="115"/>
    </row>
    <row r="4" spans="1:4" x14ac:dyDescent="0.25">
      <c r="A4" s="2">
        <v>46296</v>
      </c>
      <c r="B4" s="3"/>
      <c r="C4" s="4"/>
      <c r="D4" s="5"/>
    </row>
    <row r="5" spans="1:4" x14ac:dyDescent="0.25">
      <c r="A5" s="6" t="s">
        <v>94</v>
      </c>
      <c r="B5" s="7"/>
      <c r="C5" s="4"/>
      <c r="D5" s="5"/>
    </row>
    <row r="6" spans="1:4" x14ac:dyDescent="0.25">
      <c r="A6" s="6"/>
      <c r="B6" s="7"/>
      <c r="C6" s="4"/>
      <c r="D6" s="5"/>
    </row>
    <row r="7" spans="1:4" ht="18.75" x14ac:dyDescent="0.25">
      <c r="A7" s="138" t="s">
        <v>95</v>
      </c>
      <c r="B7" s="139"/>
      <c r="C7" s="139"/>
      <c r="D7" s="140"/>
    </row>
    <row r="8" spans="1:4" x14ac:dyDescent="0.25">
      <c r="A8" s="151"/>
      <c r="B8" s="152"/>
      <c r="C8" s="152"/>
      <c r="D8" s="153"/>
    </row>
    <row r="9" spans="1:4" x14ac:dyDescent="0.25">
      <c r="A9" s="11"/>
      <c r="B9" s="12"/>
      <c r="C9" s="12"/>
      <c r="D9" s="13"/>
    </row>
    <row r="10" spans="1:4" x14ac:dyDescent="0.25">
      <c r="A10" s="14" t="s">
        <v>1</v>
      </c>
      <c r="B10" s="15"/>
      <c r="C10" s="4"/>
      <c r="D10" s="5"/>
    </row>
    <row r="11" spans="1:4" x14ac:dyDescent="0.25">
      <c r="A11" s="14" t="s">
        <v>2</v>
      </c>
      <c r="B11" s="15"/>
      <c r="C11" s="4"/>
      <c r="D11" s="5"/>
    </row>
    <row r="12" spans="1:4" x14ac:dyDescent="0.25">
      <c r="A12" s="99" t="s">
        <v>3</v>
      </c>
      <c r="B12" s="100"/>
      <c r="C12" s="119" t="s">
        <v>4</v>
      </c>
      <c r="D12" s="120"/>
    </row>
    <row r="13" spans="1:4" x14ac:dyDescent="0.25">
      <c r="A13" s="99" t="s">
        <v>5</v>
      </c>
      <c r="B13" s="100"/>
      <c r="C13" s="85" t="s">
        <v>59</v>
      </c>
      <c r="D13" s="86"/>
    </row>
    <row r="14" spans="1:4" x14ac:dyDescent="0.25">
      <c r="A14" s="99" t="s">
        <v>7</v>
      </c>
      <c r="B14" s="100"/>
      <c r="C14" s="101">
        <v>46296</v>
      </c>
      <c r="D14" s="102"/>
    </row>
    <row r="15" spans="1:4" x14ac:dyDescent="0.25">
      <c r="A15" s="89" t="s">
        <v>8</v>
      </c>
      <c r="B15" s="90"/>
      <c r="C15" s="103">
        <v>46296</v>
      </c>
      <c r="D15" s="104"/>
    </row>
    <row r="16" spans="1:4" x14ac:dyDescent="0.25">
      <c r="A16" s="89" t="s">
        <v>9</v>
      </c>
      <c r="B16" s="90"/>
      <c r="C16" s="105" t="s">
        <v>96</v>
      </c>
      <c r="D16" s="106"/>
    </row>
    <row r="17" spans="1:4" x14ac:dyDescent="0.25">
      <c r="A17" s="89" t="s">
        <v>11</v>
      </c>
      <c r="B17" s="90"/>
      <c r="C17" s="91">
        <v>100</v>
      </c>
      <c r="D17" s="92"/>
    </row>
    <row r="18" spans="1:4" x14ac:dyDescent="0.25">
      <c r="A18" s="93" t="s">
        <v>12</v>
      </c>
      <c r="B18" s="94"/>
      <c r="C18" s="95" t="s">
        <v>97</v>
      </c>
      <c r="D18" s="96"/>
    </row>
    <row r="19" spans="1:4" x14ac:dyDescent="0.25">
      <c r="A19" s="77" t="s">
        <v>49</v>
      </c>
      <c r="B19" s="78"/>
      <c r="C19" s="97">
        <v>60014</v>
      </c>
      <c r="D19" s="98"/>
    </row>
    <row r="20" spans="1:4" x14ac:dyDescent="0.25">
      <c r="A20" s="77" t="s">
        <v>50</v>
      </c>
      <c r="B20" s="78"/>
      <c r="C20" s="83" t="s">
        <v>98</v>
      </c>
      <c r="D20" s="84"/>
    </row>
    <row r="21" spans="1:4" x14ac:dyDescent="0.25">
      <c r="A21" s="77" t="s">
        <v>17</v>
      </c>
      <c r="B21" s="78"/>
      <c r="C21" s="85">
        <v>46134</v>
      </c>
      <c r="D21" s="86"/>
    </row>
    <row r="22" spans="1:4" x14ac:dyDescent="0.25">
      <c r="A22" s="77" t="s">
        <v>18</v>
      </c>
      <c r="B22" s="78"/>
      <c r="C22" s="87">
        <v>7.3400000000000007E-2</v>
      </c>
      <c r="D22" s="88"/>
    </row>
    <row r="23" spans="1:4" x14ac:dyDescent="0.25">
      <c r="A23" s="77" t="s">
        <v>51</v>
      </c>
      <c r="B23" s="78"/>
      <c r="C23" s="79">
        <f>COUPDAYBS(C15,C19,2,4)</f>
        <v>159</v>
      </c>
      <c r="D23" s="80"/>
    </row>
    <row r="24" spans="1:4" x14ac:dyDescent="0.25">
      <c r="A24" s="77" t="s">
        <v>52</v>
      </c>
      <c r="B24" s="78"/>
      <c r="C24" s="79">
        <v>10000</v>
      </c>
      <c r="D24" s="80"/>
    </row>
    <row r="25" spans="1:4" x14ac:dyDescent="0.25">
      <c r="A25" s="77" t="s">
        <v>53</v>
      </c>
      <c r="B25" s="78"/>
      <c r="C25" s="81">
        <f>100*C24</f>
        <v>1000000</v>
      </c>
      <c r="D25" s="82"/>
    </row>
    <row r="26" spans="1:4" x14ac:dyDescent="0.25">
      <c r="A26" s="66" t="s">
        <v>54</v>
      </c>
      <c r="B26" s="67"/>
      <c r="C26" s="73">
        <f>C25*C17/100</f>
        <v>1000000</v>
      </c>
      <c r="D26" s="74"/>
    </row>
    <row r="27" spans="1:4" x14ac:dyDescent="0.25">
      <c r="A27" s="66" t="s">
        <v>23</v>
      </c>
      <c r="B27" s="67"/>
      <c r="C27" s="75">
        <f>C25*C22*C23/360</f>
        <v>32418.333333333332</v>
      </c>
      <c r="D27" s="76"/>
    </row>
    <row r="28" spans="1:4" ht="17.25" x14ac:dyDescent="0.4">
      <c r="A28" s="66" t="s">
        <v>63</v>
      </c>
      <c r="B28" s="67"/>
      <c r="C28" s="68">
        <f>C26+C27</f>
        <v>1032418.3333333334</v>
      </c>
      <c r="D28" s="69"/>
    </row>
    <row r="29" spans="1:4" ht="17.25" x14ac:dyDescent="0.4">
      <c r="A29" s="127" t="s">
        <v>64</v>
      </c>
      <c r="B29" s="128"/>
      <c r="C29" s="129">
        <f>C28*0.1%</f>
        <v>1032.4183333333333</v>
      </c>
      <c r="D29" s="130"/>
    </row>
    <row r="30" spans="1:4" ht="17.25" x14ac:dyDescent="0.4">
      <c r="A30" s="127" t="s">
        <v>65</v>
      </c>
      <c r="B30" s="128"/>
      <c r="C30" s="129">
        <f>C28-C29</f>
        <v>1031385.915</v>
      </c>
      <c r="D30" s="130"/>
    </row>
    <row r="31" spans="1:4" x14ac:dyDescent="0.25">
      <c r="A31" s="66" t="s">
        <v>66</v>
      </c>
      <c r="B31" s="67"/>
      <c r="C31" s="131" t="s">
        <v>67</v>
      </c>
      <c r="D31" s="132"/>
    </row>
    <row r="32" spans="1:4" x14ac:dyDescent="0.25">
      <c r="A32" s="22" t="s">
        <v>26</v>
      </c>
      <c r="B32" s="23" t="s">
        <v>27</v>
      </c>
      <c r="C32" s="48" t="s">
        <v>28</v>
      </c>
      <c r="D32" s="49"/>
    </row>
    <row r="33" spans="1:4" ht="60" x14ac:dyDescent="0.25">
      <c r="A33" s="50" t="s">
        <v>68</v>
      </c>
      <c r="B33" s="30" t="s">
        <v>69</v>
      </c>
      <c r="C33" s="51" t="s">
        <v>70</v>
      </c>
      <c r="D33" s="52"/>
    </row>
    <row r="34" spans="1:4" x14ac:dyDescent="0.25">
      <c r="A34" s="22" t="s">
        <v>71</v>
      </c>
      <c r="B34" s="27" t="s">
        <v>72</v>
      </c>
      <c r="C34" s="51" t="s">
        <v>73</v>
      </c>
      <c r="D34" s="53"/>
    </row>
    <row r="35" spans="1:4" x14ac:dyDescent="0.25">
      <c r="A35" s="22" t="s">
        <v>31</v>
      </c>
      <c r="B35" s="27" t="s">
        <v>74</v>
      </c>
      <c r="C35" s="51" t="s">
        <v>75</v>
      </c>
      <c r="D35" s="53"/>
    </row>
    <row r="36" spans="1:4" x14ac:dyDescent="0.25">
      <c r="A36" s="22" t="s">
        <v>38</v>
      </c>
      <c r="B36" s="54" t="s">
        <v>76</v>
      </c>
      <c r="C36" s="55"/>
      <c r="D36" s="56"/>
    </row>
    <row r="37" spans="1:4" ht="91.5" customHeight="1" x14ac:dyDescent="0.25">
      <c r="A37" s="121" t="s">
        <v>42</v>
      </c>
      <c r="B37" s="122"/>
      <c r="C37" s="122"/>
      <c r="D37" s="123"/>
    </row>
    <row r="38" spans="1:4" ht="38.25" customHeight="1" x14ac:dyDescent="0.25">
      <c r="A38" s="124" t="s">
        <v>43</v>
      </c>
      <c r="B38" s="125"/>
      <c r="C38" s="125"/>
      <c r="D38" s="126"/>
    </row>
    <row r="39" spans="1:4" x14ac:dyDescent="0.25">
      <c r="A39" s="14" t="s">
        <v>44</v>
      </c>
      <c r="B39" s="15"/>
      <c r="C39" s="4"/>
      <c r="D39" s="5"/>
    </row>
    <row r="40" spans="1:4" x14ac:dyDescent="0.25">
      <c r="A40" s="70"/>
      <c r="B40" s="15"/>
      <c r="C40" s="4"/>
      <c r="D40" s="5"/>
    </row>
    <row r="41" spans="1:4" x14ac:dyDescent="0.25">
      <c r="A41" s="70"/>
      <c r="B41" s="4"/>
      <c r="C41" s="71" t="str">
        <f>A7</f>
        <v>Name</v>
      </c>
      <c r="D41" s="72"/>
    </row>
    <row r="42" spans="1:4" x14ac:dyDescent="0.25">
      <c r="A42" s="6" t="s">
        <v>45</v>
      </c>
      <c r="B42" s="4"/>
      <c r="C42" s="7" t="s">
        <v>45</v>
      </c>
      <c r="D42" s="5"/>
    </row>
    <row r="43" spans="1:4" x14ac:dyDescent="0.25">
      <c r="A43" s="6"/>
      <c r="B43" s="4"/>
      <c r="C43" s="7"/>
      <c r="D43" s="5"/>
    </row>
    <row r="44" spans="1:4" x14ac:dyDescent="0.25">
      <c r="A44" s="6"/>
      <c r="B44" s="4"/>
      <c r="C44" s="7"/>
      <c r="D44" s="5"/>
    </row>
    <row r="45" spans="1:4" ht="15.75" thickBot="1" x14ac:dyDescent="0.3">
      <c r="A45" s="36"/>
      <c r="B45" s="37"/>
      <c r="C45" s="38"/>
      <c r="D45" s="39"/>
    </row>
    <row r="46" spans="1:4" x14ac:dyDescent="0.25">
      <c r="A46" s="4"/>
      <c r="B46" s="4"/>
      <c r="C46" s="4"/>
      <c r="D46" s="4"/>
    </row>
  </sheetData>
  <mergeCells count="47">
    <mergeCell ref="A37:D37"/>
    <mergeCell ref="A38:D38"/>
    <mergeCell ref="A40:A41"/>
    <mergeCell ref="C41:D41"/>
    <mergeCell ref="A29:B29"/>
    <mergeCell ref="C29:D29"/>
    <mergeCell ref="A30:B30"/>
    <mergeCell ref="C30:D30"/>
    <mergeCell ref="A31:B31"/>
    <mergeCell ref="C31:D31"/>
    <mergeCell ref="A26:B26"/>
    <mergeCell ref="C26:D26"/>
    <mergeCell ref="A27:B27"/>
    <mergeCell ref="C27:D27"/>
    <mergeCell ref="A28:B28"/>
    <mergeCell ref="C28:D28"/>
    <mergeCell ref="A23:B23"/>
    <mergeCell ref="C23:D23"/>
    <mergeCell ref="A24:B24"/>
    <mergeCell ref="C24:D24"/>
    <mergeCell ref="A25:B25"/>
    <mergeCell ref="C25:D25"/>
    <mergeCell ref="A20:B20"/>
    <mergeCell ref="C20:D20"/>
    <mergeCell ref="A21:B21"/>
    <mergeCell ref="C21:D21"/>
    <mergeCell ref="A22:B22"/>
    <mergeCell ref="C22:D22"/>
    <mergeCell ref="A17:B17"/>
    <mergeCell ref="C17:D17"/>
    <mergeCell ref="A18:B18"/>
    <mergeCell ref="C18:D18"/>
    <mergeCell ref="A19:B19"/>
    <mergeCell ref="C19:D19"/>
    <mergeCell ref="A14:B14"/>
    <mergeCell ref="C14:D14"/>
    <mergeCell ref="A15:B15"/>
    <mergeCell ref="C15:D15"/>
    <mergeCell ref="A16:B16"/>
    <mergeCell ref="C16:D16"/>
    <mergeCell ref="A1:D3"/>
    <mergeCell ref="A7:D7"/>
    <mergeCell ref="A8:D8"/>
    <mergeCell ref="A12:B12"/>
    <mergeCell ref="C12:D12"/>
    <mergeCell ref="A13:B13"/>
    <mergeCell ref="C13:D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Off market Sale </vt:lpstr>
      <vt:lpstr>PSU Private Sale </vt:lpstr>
      <vt:lpstr>Psu Private Purchase </vt:lpstr>
      <vt:lpstr>Off Market Purchase</vt:lpstr>
      <vt:lpstr>gsec paper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VERMA</dc:creator>
  <cp:lastModifiedBy>admin</cp:lastModifiedBy>
  <cp:lastPrinted>2026-09-23T08:52:31Z</cp:lastPrinted>
  <dcterms:created xsi:type="dcterms:W3CDTF">2015-06-05T18:17:20Z</dcterms:created>
  <dcterms:modified xsi:type="dcterms:W3CDTF">2026-09-30T09:28:32Z</dcterms:modified>
</cp:coreProperties>
</file>