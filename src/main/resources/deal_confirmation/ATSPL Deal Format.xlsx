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729"/>
  <workbookPr/>
  <mc:AlternateContent xmlns:mc="http://schemas.openxmlformats.org/markup-compatibility/2006">
    <mc:Choice Requires="x15">
      <x15ac:absPath xmlns:x15ac="http://schemas.microsoft.com/office/spreadsheetml/2010/11/ac" url="C:\Users\MAHESH VERMA\Desktop\"/>
    </mc:Choice>
  </mc:AlternateContent>
  <xr:revisionPtr revIDLastSave="0" documentId="13_ncr:1_{A043B653-04FC-4D8E-B5B4-4AC0D10E82A8}" xr6:coauthVersionLast="47" xr6:coauthVersionMax="47" xr10:uidLastSave="{00000000-0000-0000-0000-000000000000}"/>
  <bookViews>
    <workbookView xWindow="-120" yWindow="-120" windowWidth="29040" windowHeight="15840" activeTab="2" xr2:uid="{00000000-000D-0000-FFFF-FFFF00000000}"/>
  </bookViews>
  <sheets>
    <sheet name="Off market Sale " sheetId="3" r:id="rId1"/>
    <sheet name="PSU Private Sale " sheetId="1" r:id="rId2"/>
    <sheet name="Psu Private Purchase " sheetId="2" r:id="rId3"/>
    <sheet name="Off Market Purchase"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38" i="4" l="1"/>
  <c r="C25" i="4"/>
  <c r="C26" i="4" s="1"/>
  <c r="C23" i="4"/>
  <c r="C27" i="4" s="1"/>
  <c r="C41" i="3"/>
  <c r="C26" i="3"/>
  <c r="C25" i="3"/>
  <c r="C23" i="3"/>
  <c r="C27" i="1"/>
  <c r="C25" i="2"/>
  <c r="C37" i="2"/>
  <c r="C23" i="2"/>
  <c r="C39" i="1"/>
  <c r="C25" i="1"/>
  <c r="C23" i="1"/>
  <c r="C28" i="4" l="1"/>
  <c r="C30" i="4" s="1"/>
  <c r="C27" i="3"/>
  <c r="C28" i="3" s="1"/>
  <c r="C30" i="3" s="1"/>
  <c r="C27" i="2"/>
  <c r="C26" i="2"/>
  <c r="C26" i="1"/>
  <c r="C29" i="1" s="1"/>
  <c r="C29" i="2" l="1"/>
</calcChain>
</file>

<file path=xl/sharedStrings.xml><?xml version="1.0" encoding="utf-8"?>
<sst xmlns="http://schemas.openxmlformats.org/spreadsheetml/2006/main" count="191" uniqueCount="94">
  <si>
    <t>2026/S/SEP/121</t>
  </si>
  <si>
    <t>Dear Sir,</t>
  </si>
  <si>
    <t>We hereby confirm the following transaction:</t>
  </si>
  <si>
    <t>Type of Transaction</t>
  </si>
  <si>
    <t>Our Sale</t>
  </si>
  <si>
    <t>Mode of delivery</t>
  </si>
  <si>
    <t>ICCL</t>
  </si>
  <si>
    <t>Deal Date</t>
  </si>
  <si>
    <t>Value Date</t>
  </si>
  <si>
    <t>ISIN No.</t>
  </si>
  <si>
    <t>INE926R07027</t>
  </si>
  <si>
    <t>Price</t>
  </si>
  <si>
    <t>Security Name</t>
  </si>
  <si>
    <t>13.00% Unifinz Capital India Ltd 2028</t>
  </si>
  <si>
    <t>Maturty  Date</t>
  </si>
  <si>
    <t>Interest Payament Date</t>
  </si>
  <si>
    <t>01st  Of Every Month</t>
  </si>
  <si>
    <t>Last  Interest Payment  Date</t>
  </si>
  <si>
    <t>Coupon Rate</t>
  </si>
  <si>
    <t>No. of Accrued Days</t>
  </si>
  <si>
    <t>No of Bonds</t>
  </si>
  <si>
    <t>Quantum</t>
  </si>
  <si>
    <t>Principal Amount</t>
  </si>
  <si>
    <t>Accrued  Interest</t>
  </si>
  <si>
    <t>Stamp Duty</t>
  </si>
  <si>
    <t>Total Consideration</t>
  </si>
  <si>
    <t>Our PAN</t>
  </si>
  <si>
    <t>AAHCA7743E</t>
  </si>
  <si>
    <t>Your PAN</t>
  </si>
  <si>
    <t>CM-BP-Id</t>
  </si>
  <si>
    <t>IN619994</t>
  </si>
  <si>
    <t>IFSC Code</t>
  </si>
  <si>
    <t>ICLL0000001</t>
  </si>
  <si>
    <t>CM Name</t>
  </si>
  <si>
    <t>Indian Clearing Corporation Ltd</t>
  </si>
  <si>
    <t>Beneficiary Name</t>
  </si>
  <si>
    <t>Market Type</t>
  </si>
  <si>
    <t>ICDM(T+0)</t>
  </si>
  <si>
    <t>Account No.</t>
  </si>
  <si>
    <t>Settlement NO.</t>
  </si>
  <si>
    <t>Banker</t>
  </si>
  <si>
    <t>ICCL Or RBI</t>
  </si>
  <si>
    <t>The Above Deal/transaction has been done by us at your own free will and consent and ALL TIME SECURITIES PVT LTD and/or its empoyees have not induced me/us to deal or transaction  Before making investment /subscribing to said securities , you have read all the related transaction documents including  offer document ,instrument description ,term sheet ,security features,statutory filings,issur information , rating letter(s) rating rationale (s) ets. You also fully understand the various risks associated with investing /Subscribing to said securities including but not limited to credit risk , market Risk ,default risk,Liquidity Risk,  interest rate risk ,Reinvestment Risk etc associated with trading in corporate bonds ,preference share and other fixed income securities ALL TIME SECURITIES PVT LTD  will not be responsible for any default of payment of interest &amp; Principle Amount by the issuer. Please confirm the same by return  mail on alltimesec@gmail.com</t>
  </si>
  <si>
    <t>please note that in case we do not receive the copy of the deal confirmation signed by me/us in acceptance thereof within 3 days from the date of deal settled by me/us nor do we receive any written communication raising any objection or query, it will be deemed that you have accepted the confirmation on all respect.</t>
  </si>
  <si>
    <t>for All Time Securities Pvt. Ltd.                             We Confirm the transaction as specified above</t>
  </si>
  <si>
    <t>Authorised Signatory</t>
  </si>
  <si>
    <t>Counterparty Name-</t>
  </si>
  <si>
    <t>ADD.</t>
  </si>
  <si>
    <t>Our Purchase</t>
  </si>
  <si>
    <t>Maturity Date</t>
  </si>
  <si>
    <t>Interest Payment  Date</t>
  </si>
  <si>
    <t>No. Of Accrued Days</t>
  </si>
  <si>
    <t xml:space="preserve">Total Bonds </t>
  </si>
  <si>
    <t xml:space="preserve">Quantum </t>
  </si>
  <si>
    <t xml:space="preserve">Principal Amount </t>
  </si>
  <si>
    <t xml:space="preserve">Stamp Duty </t>
  </si>
  <si>
    <t>ADD-</t>
  </si>
  <si>
    <t>2026/B/SEP/00</t>
  </si>
  <si>
    <t xml:space="preserve">1st  Of Every Month </t>
  </si>
  <si>
    <t xml:space="preserve">Demat </t>
  </si>
  <si>
    <t>IN3320260042</t>
  </si>
  <si>
    <t>7.82% UTTAR PRADESH SGS 2046</t>
  </si>
  <si>
    <t>10/06-10/12</t>
  </si>
  <si>
    <t xml:space="preserve">Consideration Amount </t>
  </si>
  <si>
    <t>Tds ( 0.10%)</t>
  </si>
  <si>
    <t xml:space="preserve">Total Consideration Amount </t>
  </si>
  <si>
    <t>Benificiary Name</t>
  </si>
  <si>
    <t>All Time Securities pvt. Ltd.</t>
  </si>
  <si>
    <t>Branch Location</t>
  </si>
  <si>
    <t>North Ex Mall Sec-9 Rohini, Delhi-110085</t>
  </si>
  <si>
    <t>Your Dp Name</t>
  </si>
  <si>
    <t>Our Bank Name</t>
  </si>
  <si>
    <t>HDFC Bank ltd</t>
  </si>
  <si>
    <t>DP ID</t>
  </si>
  <si>
    <t>HDFC0001347</t>
  </si>
  <si>
    <t>CLIENT ID</t>
  </si>
  <si>
    <t>13472320000772</t>
  </si>
  <si>
    <t>2026/S/SEP/00</t>
  </si>
  <si>
    <t>Demat</t>
  </si>
  <si>
    <t>IN0020200401</t>
  </si>
  <si>
    <t>6.76% GOI 2061</t>
  </si>
  <si>
    <t>Interest Payment Date</t>
  </si>
  <si>
    <t>22/02-22/08</t>
  </si>
  <si>
    <t>Last  Interest Payment  date</t>
  </si>
  <si>
    <t>Tds (0.1%)</t>
  </si>
  <si>
    <t>Total Consideration Amount After Tds.</t>
  </si>
  <si>
    <t>Our DP NAME</t>
  </si>
  <si>
    <t>SHRI PARASRAM HOLDINGS PVT.LTD</t>
  </si>
  <si>
    <t>Your Bank Branch Location</t>
  </si>
  <si>
    <t>Our DP ID</t>
  </si>
  <si>
    <t>IN302365</t>
  </si>
  <si>
    <t xml:space="preserve">Your Bank Name </t>
  </si>
  <si>
    <t>Our Client ID</t>
  </si>
  <si>
    <t>HDFC BANK LTD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</si>
</sst>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409]d/mmm/yy;@"/>
    <numFmt numFmtId="165" formatCode="0.0"/>
    <numFmt numFmtId="167" formatCode="0.0000"/>
  </numFmts>
  <fonts count="20" x14ac:knownFonts="1">
    <font>
      <sz val="11"/>
      <color theme="1"/>
      <name val="Calibri"/>
      <family val="2"/>
      <scheme val="minor"/>
    </font>
    <font>
      <sz val="11"/>
      <color theme="1"/>
      <name val="Calibri"/>
      <family val="2"/>
      <scheme val="minor"/>
    </font>
    <font>
      <b/>
      <sz val="11"/>
      <color theme="1"/>
      <name val="Calibri"/>
      <family val="2"/>
      <scheme val="minor"/>
    </font>
    <font>
      <b/>
      <sz val="11"/>
      <name val="Calibri"/>
      <family val="2"/>
    </font>
    <font>
      <b/>
      <sz val="11"/>
      <color theme="1"/>
      <name val="Calibri"/>
      <family val="2"/>
    </font>
    <font>
      <b/>
      <sz val="14"/>
      <color theme="1"/>
      <name val="Book Antiqua"/>
      <family val="1"/>
    </font>
    <font>
      <b/>
      <sz val="8"/>
      <color theme="1"/>
      <name val="Book Antiqua"/>
      <family val="1"/>
    </font>
    <font>
      <b/>
      <sz val="11"/>
      <color indexed="8"/>
      <name val="Calibri"/>
      <family val="2"/>
    </font>
    <font>
      <b/>
      <sz val="11"/>
      <name val="Calibri"/>
      <family val="2"/>
      <scheme val="minor"/>
    </font>
    <font>
      <sz val="10"/>
      <color theme="1"/>
      <name val="Calibri"/>
      <family val="2"/>
      <scheme val="minor"/>
    </font>
    <font>
      <b/>
      <sz val="11"/>
      <color indexed="8"/>
      <name val="Calibri"/>
      <family val="2"/>
      <scheme val="minor"/>
    </font>
    <font>
      <b/>
      <sz val="10"/>
      <color theme="1"/>
      <name val="Calibri"/>
      <family val="2"/>
      <scheme val="minor"/>
    </font>
    <font>
      <b/>
      <sz val="9"/>
      <name val="Calibri"/>
      <family val="2"/>
      <scheme val="minor"/>
    </font>
    <font>
      <b/>
      <sz val="10"/>
      <name val="Calibri"/>
      <family val="2"/>
      <scheme val="minor"/>
    </font>
    <font>
      <b/>
      <sz val="9"/>
      <color theme="1"/>
      <name val="Calibri"/>
      <family val="2"/>
      <scheme val="minor"/>
    </font>
    <font>
      <sz val="8"/>
      <color theme="1"/>
      <name val="Calibri"/>
      <family val="2"/>
      <scheme val="minor"/>
    </font>
    <font>
      <b/>
      <sz val="12"/>
      <color theme="1"/>
      <name val="Book Antiqua"/>
      <family val="1"/>
    </font>
    <font>
      <b/>
      <u val="doubleAccounting"/>
      <sz val="11"/>
      <name val="Calibri"/>
      <family val="2"/>
    </font>
    <font>
      <b/>
      <sz val="8"/>
      <color theme="1"/>
      <name val="Calibri"/>
      <family val="2"/>
      <scheme val="minor"/>
    </font>
    <font>
      <b/>
      <u/>
      <sz val="11"/>
      <color indexed="8"/>
      <name val="Calibri"/>
      <family val="2"/>
    </font>
  </fonts>
  <fills count="4">
    <fill>
      <patternFill patternType="none"/>
    </fill>
    <fill>
      <patternFill patternType="gray125"/>
    </fill>
    <fill>
      <patternFill patternType="solid">
        <fgColor indexed="9"/>
        <bgColor indexed="9"/>
      </patternFill>
    </fill>
    <fill>
      <patternFill patternType="solid">
        <fgColor indexed="9"/>
        <bgColor indexed="64"/>
      </patternFill>
    </fill>
  </fills>
  <borders count="20">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thin">
        <color auto="1"/>
      </left>
      <right/>
      <top style="thin">
        <color auto="1"/>
      </top>
      <bottom style="thin">
        <color auto="1"/>
      </bottom>
      <diagonal/>
    </border>
    <border>
      <left/>
      <right style="medium">
        <color indexed="64"/>
      </right>
      <top style="thin">
        <color auto="1"/>
      </top>
      <bottom style="thin">
        <color auto="1"/>
      </bottom>
      <diagonal/>
    </border>
    <border>
      <left style="medium">
        <color indexed="64"/>
      </left>
      <right/>
      <top style="thin">
        <color auto="1"/>
      </top>
      <bottom style="thin">
        <color auto="1"/>
      </bottom>
      <diagonal/>
    </border>
    <border>
      <left/>
      <right style="thin">
        <color auto="1"/>
      </right>
      <top style="thin">
        <color auto="1"/>
      </top>
      <bottom style="thin">
        <color auto="1"/>
      </bottom>
      <diagonal/>
    </border>
    <border>
      <left style="medium">
        <color indexed="64"/>
      </left>
      <right/>
      <top style="thin">
        <color auto="1"/>
      </top>
      <bottom/>
      <diagonal/>
    </border>
    <border>
      <left/>
      <right/>
      <top style="thin">
        <color auto="1"/>
      </top>
      <bottom/>
      <diagonal/>
    </border>
    <border>
      <left/>
      <right style="medium">
        <color indexed="64"/>
      </right>
      <top style="thin">
        <color auto="1"/>
      </top>
      <bottom/>
      <diagonal/>
    </border>
    <border>
      <left/>
      <right/>
      <top style="thin">
        <color indexed="64"/>
      </top>
      <bottom style="thin">
        <color indexed="64"/>
      </bottom>
      <diagonal/>
    </border>
  </borders>
  <cellStyleXfs count="2">
    <xf numFmtId="0" fontId="0" fillId="0" borderId="0"/>
    <xf numFmtId="9" fontId="1" fillId="0" borderId="0" applyFont="0" applyFill="0" applyBorder="0" applyAlignment="0" applyProtection="0"/>
  </cellStyleXfs>
  <cellXfs count="151">
    <xf numFmtId="0" fontId="0" fillId="0" borderId="0" xfId="0"/>
    <xf numFmtId="0" fontId="0" fillId="0" borderId="1" xfId="0" applyBorder="1" applyAlignment="1">
      <alignment horizontal="center"/>
    </xf>
    <xf numFmtId="0" fontId="0" fillId="0" borderId="2" xfId="0" applyBorder="1" applyAlignment="1">
      <alignment horizontal="center"/>
    </xf>
    <xf numFmtId="0" fontId="0" fillId="0" borderId="3" xfId="0" applyBorder="1" applyAlignment="1">
      <alignment horizontal="center"/>
    </xf>
    <xf numFmtId="0" fontId="0" fillId="0" borderId="4" xfId="0" applyBorder="1" applyAlignment="1">
      <alignment horizontal="center"/>
    </xf>
    <xf numFmtId="0" fontId="0" fillId="0" borderId="0" xfId="0" applyAlignment="1">
      <alignment horizontal="center"/>
    </xf>
    <xf numFmtId="0" fontId="0" fillId="0" borderId="5" xfId="0"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8" xfId="0" applyBorder="1" applyAlignment="1">
      <alignment horizontal="center"/>
    </xf>
    <xf numFmtId="15" fontId="3" fillId="0" borderId="4" xfId="0" applyNumberFormat="1" applyFont="1" applyBorder="1" applyAlignment="1">
      <alignment horizontal="left"/>
    </xf>
    <xf numFmtId="15" fontId="3" fillId="0" borderId="0" xfId="0" applyNumberFormat="1" applyFont="1" applyAlignment="1">
      <alignment horizontal="left"/>
    </xf>
    <xf numFmtId="0" fontId="4" fillId="0" borderId="0" xfId="0" applyFont="1"/>
    <xf numFmtId="0" fontId="4" fillId="0" borderId="5" xfId="0" applyFont="1" applyBorder="1"/>
    <xf numFmtId="0" fontId="3" fillId="0" borderId="4" xfId="0" applyFont="1" applyBorder="1" applyAlignment="1">
      <alignment horizontal="left"/>
    </xf>
    <xf numFmtId="0" fontId="3" fillId="0" borderId="0" xfId="0" applyFont="1" applyAlignment="1">
      <alignment horizontal="left"/>
    </xf>
    <xf numFmtId="0" fontId="5" fillId="0" borderId="4" xfId="0" applyFont="1" applyBorder="1" applyAlignment="1">
      <alignment horizontal="left" vertical="center" wrapText="1"/>
    </xf>
    <xf numFmtId="0" fontId="5" fillId="0" borderId="0" xfId="0" applyFont="1" applyAlignment="1">
      <alignment horizontal="left" vertical="center" wrapText="1"/>
    </xf>
    <xf numFmtId="0" fontId="5" fillId="0" borderId="5" xfId="0" applyFont="1" applyBorder="1" applyAlignment="1">
      <alignment horizontal="left" vertical="center" wrapText="1"/>
    </xf>
    <xf numFmtId="0" fontId="6" fillId="0" borderId="4" xfId="0" applyFont="1" applyBorder="1" applyAlignment="1">
      <alignment horizontal="left" vertical="center" wrapText="1"/>
    </xf>
    <xf numFmtId="0" fontId="6" fillId="0" borderId="0" xfId="0" applyFont="1" applyAlignment="1">
      <alignment horizontal="left" vertical="center" wrapText="1"/>
    </xf>
    <xf numFmtId="0" fontId="6" fillId="0" borderId="5" xfId="0" applyFont="1" applyBorder="1" applyAlignment="1">
      <alignment horizontal="left" vertical="center" wrapText="1"/>
    </xf>
    <xf numFmtId="0" fontId="6" fillId="0" borderId="4" xfId="0" applyFont="1" applyBorder="1" applyAlignment="1">
      <alignment horizontal="left" vertical="center" wrapText="1"/>
    </xf>
    <xf numFmtId="0" fontId="6" fillId="0" borderId="0" xfId="0" applyFont="1" applyAlignment="1">
      <alignment horizontal="left" vertical="center" wrapText="1"/>
    </xf>
    <xf numFmtId="0" fontId="6" fillId="0" borderId="5" xfId="0" applyFont="1" applyBorder="1" applyAlignment="1">
      <alignment horizontal="left" vertical="center" wrapText="1"/>
    </xf>
    <xf numFmtId="2" fontId="7" fillId="0" borderId="4" xfId="0" applyNumberFormat="1" applyFont="1" applyBorder="1" applyAlignment="1">
      <alignment horizontal="left"/>
    </xf>
    <xf numFmtId="0" fontId="3" fillId="0" borderId="0" xfId="0" applyFont="1"/>
    <xf numFmtId="2" fontId="7" fillId="0" borderId="9" xfId="0" applyNumberFormat="1" applyFont="1" applyBorder="1" applyAlignment="1">
      <alignment horizontal="left"/>
    </xf>
    <xf numFmtId="2" fontId="7" fillId="0" borderId="10" xfId="0" applyNumberFormat="1" applyFont="1" applyBorder="1" applyAlignment="1">
      <alignment horizontal="left"/>
    </xf>
    <xf numFmtId="0" fontId="7" fillId="0" borderId="10" xfId="0" applyFont="1" applyBorder="1" applyAlignment="1" applyProtection="1">
      <alignment horizontal="left"/>
      <protection locked="0"/>
    </xf>
    <xf numFmtId="0" fontId="7" fillId="0" borderId="11" xfId="0" applyFont="1" applyBorder="1" applyAlignment="1" applyProtection="1">
      <alignment horizontal="left"/>
      <protection locked="0"/>
    </xf>
    <xf numFmtId="16" fontId="0" fillId="0" borderId="0" xfId="0" applyNumberFormat="1"/>
    <xf numFmtId="164" fontId="3" fillId="0" borderId="10" xfId="0" applyNumberFormat="1" applyFont="1" applyBorder="1" applyAlignment="1">
      <alignment horizontal="left"/>
    </xf>
    <xf numFmtId="164" fontId="3" fillId="0" borderId="11" xfId="0" applyNumberFormat="1" applyFont="1" applyBorder="1" applyAlignment="1">
      <alignment horizontal="left"/>
    </xf>
    <xf numFmtId="14" fontId="0" fillId="0" borderId="0" xfId="0" applyNumberFormat="1"/>
    <xf numFmtId="164" fontId="3" fillId="0" borderId="12" xfId="0" applyNumberFormat="1" applyFont="1" applyBorder="1" applyAlignment="1">
      <alignment horizontal="left"/>
    </xf>
    <xf numFmtId="164" fontId="3" fillId="0" borderId="13" xfId="0" applyNumberFormat="1" applyFont="1" applyBorder="1" applyAlignment="1">
      <alignment horizontal="left"/>
    </xf>
    <xf numFmtId="2" fontId="0" fillId="0" borderId="0" xfId="0" applyNumberFormat="1"/>
    <xf numFmtId="1" fontId="7" fillId="0" borderId="9" xfId="0" applyNumberFormat="1" applyFont="1" applyBorder="1" applyAlignment="1">
      <alignment horizontal="left"/>
    </xf>
    <xf numFmtId="1" fontId="7" fillId="0" borderId="10" xfId="0" applyNumberFormat="1" applyFont="1" applyBorder="1" applyAlignment="1">
      <alignment horizontal="left"/>
    </xf>
    <xf numFmtId="164" fontId="3" fillId="0" borderId="12" xfId="0" applyNumberFormat="1" applyFont="1" applyBorder="1" applyAlignment="1">
      <alignment horizontal="left" vertical="top"/>
    </xf>
    <xf numFmtId="164" fontId="3" fillId="0" borderId="13" xfId="0" applyNumberFormat="1" applyFont="1" applyBorder="1" applyAlignment="1">
      <alignment horizontal="left" vertical="top"/>
    </xf>
    <xf numFmtId="10" fontId="0" fillId="0" borderId="0" xfId="1" applyNumberFormat="1" applyFont="1"/>
    <xf numFmtId="164" fontId="8" fillId="0" borderId="12" xfId="0" applyNumberFormat="1" applyFont="1" applyBorder="1" applyAlignment="1">
      <alignment horizontal="left" vertical="top"/>
    </xf>
    <xf numFmtId="164" fontId="8" fillId="0" borderId="13" xfId="0" applyNumberFormat="1" applyFont="1" applyBorder="1" applyAlignment="1">
      <alignment horizontal="left" vertical="top"/>
    </xf>
    <xf numFmtId="2" fontId="7" fillId="2" borderId="12" xfId="0" applyNumberFormat="1" applyFont="1" applyFill="1" applyBorder="1" applyAlignment="1" applyProtection="1">
      <alignment horizontal="left"/>
      <protection locked="0"/>
    </xf>
    <xf numFmtId="2" fontId="7" fillId="2" borderId="13" xfId="0" applyNumberFormat="1" applyFont="1" applyFill="1" applyBorder="1" applyAlignment="1" applyProtection="1">
      <alignment horizontal="left"/>
      <protection locked="0"/>
    </xf>
    <xf numFmtId="1" fontId="7" fillId="0" borderId="14" xfId="0" applyNumberFormat="1" applyFont="1" applyBorder="1" applyAlignment="1">
      <alignment horizontal="left" vertical="center"/>
    </xf>
    <xf numFmtId="1" fontId="7" fillId="0" borderId="15" xfId="0" applyNumberFormat="1" applyFont="1" applyBorder="1" applyAlignment="1">
      <alignment horizontal="left" vertical="center"/>
    </xf>
    <xf numFmtId="2" fontId="7" fillId="2" borderId="12" xfId="0" applyNumberFormat="1" applyFont="1" applyFill="1" applyBorder="1" applyAlignment="1" applyProtection="1">
      <alignment horizontal="left" vertical="center" wrapText="1"/>
      <protection locked="0"/>
    </xf>
    <xf numFmtId="2" fontId="7" fillId="2" borderId="13" xfId="0" applyNumberFormat="1" applyFont="1" applyFill="1" applyBorder="1" applyAlignment="1" applyProtection="1">
      <alignment horizontal="left" vertical="center" wrapText="1"/>
      <protection locked="0"/>
    </xf>
    <xf numFmtId="15" fontId="7" fillId="0" borderId="9" xfId="0" applyNumberFormat="1" applyFont="1" applyBorder="1" applyAlignment="1">
      <alignment horizontal="left"/>
    </xf>
    <xf numFmtId="15" fontId="7" fillId="0" borderId="10" xfId="0" applyNumberFormat="1" applyFont="1" applyBorder="1" applyAlignment="1">
      <alignment horizontal="left"/>
    </xf>
    <xf numFmtId="164" fontId="8" fillId="0" borderId="12" xfId="0" applyNumberFormat="1" applyFont="1" applyBorder="1" applyAlignment="1">
      <alignment horizontal="left" vertical="center" wrapText="1"/>
    </xf>
    <xf numFmtId="164" fontId="8" fillId="0" borderId="13" xfId="0" applyNumberFormat="1" applyFont="1" applyBorder="1" applyAlignment="1">
      <alignment horizontal="left" vertical="center" wrapText="1"/>
    </xf>
    <xf numFmtId="0" fontId="0" fillId="0" borderId="0" xfId="0" applyAlignment="1">
      <alignment horizontal="left"/>
    </xf>
    <xf numFmtId="164" fontId="8" fillId="0" borderId="12" xfId="0" applyNumberFormat="1" applyFont="1" applyBorder="1" applyAlignment="1">
      <alignment horizontal="left"/>
    </xf>
    <xf numFmtId="164" fontId="8" fillId="0" borderId="13" xfId="0" applyNumberFormat="1" applyFont="1" applyBorder="1" applyAlignment="1">
      <alignment horizontal="left"/>
    </xf>
    <xf numFmtId="0" fontId="9" fillId="0" borderId="0" xfId="0" applyFont="1"/>
    <xf numFmtId="10" fontId="3" fillId="0" borderId="10" xfId="0" applyNumberFormat="1" applyFont="1" applyBorder="1" applyAlignment="1">
      <alignment horizontal="left"/>
    </xf>
    <xf numFmtId="10" fontId="3" fillId="0" borderId="11" xfId="0" applyNumberFormat="1" applyFont="1" applyBorder="1" applyAlignment="1">
      <alignment horizontal="left"/>
    </xf>
    <xf numFmtId="1" fontId="3" fillId="3" borderId="10" xfId="0" applyNumberFormat="1" applyFont="1" applyFill="1" applyBorder="1" applyAlignment="1">
      <alignment horizontal="left"/>
    </xf>
    <xf numFmtId="1" fontId="3" fillId="3" borderId="11" xfId="0" applyNumberFormat="1" applyFont="1" applyFill="1" applyBorder="1" applyAlignment="1">
      <alignment horizontal="left"/>
    </xf>
    <xf numFmtId="0" fontId="3" fillId="0" borderId="10" xfId="0" applyFont="1" applyBorder="1" applyAlignment="1">
      <alignment horizontal="left"/>
    </xf>
    <xf numFmtId="0" fontId="3" fillId="0" borderId="11" xfId="0" applyFont="1" applyBorder="1" applyAlignment="1">
      <alignment horizontal="left"/>
    </xf>
    <xf numFmtId="0" fontId="7" fillId="0" borderId="9" xfId="0" applyFont="1" applyBorder="1" applyAlignment="1">
      <alignment horizontal="left"/>
    </xf>
    <xf numFmtId="0" fontId="7" fillId="0" borderId="10" xfId="0" applyFont="1" applyBorder="1" applyAlignment="1">
      <alignment horizontal="left"/>
    </xf>
    <xf numFmtId="2" fontId="3" fillId="3" borderId="12" xfId="0" applyNumberFormat="1" applyFont="1" applyFill="1" applyBorder="1" applyAlignment="1">
      <alignment horizontal="left" wrapText="1"/>
    </xf>
    <xf numFmtId="2" fontId="3" fillId="3" borderId="13" xfId="0" applyNumberFormat="1" applyFont="1" applyFill="1" applyBorder="1" applyAlignment="1">
      <alignment horizontal="left" wrapText="1"/>
    </xf>
    <xf numFmtId="2" fontId="3" fillId="3" borderId="10" xfId="0" applyNumberFormat="1" applyFont="1" applyFill="1" applyBorder="1" applyAlignment="1">
      <alignment horizontal="left"/>
    </xf>
    <xf numFmtId="2" fontId="3" fillId="3" borderId="11" xfId="0" applyNumberFormat="1" applyFont="1" applyFill="1" applyBorder="1" applyAlignment="1">
      <alignment horizontal="left"/>
    </xf>
    <xf numFmtId="4" fontId="3" fillId="0" borderId="10" xfId="0" applyNumberFormat="1" applyFont="1" applyBorder="1" applyAlignment="1">
      <alignment horizontal="left"/>
    </xf>
    <xf numFmtId="4" fontId="3" fillId="0" borderId="11" xfId="0" applyNumberFormat="1" applyFont="1" applyBorder="1" applyAlignment="1">
      <alignment horizontal="left"/>
    </xf>
    <xf numFmtId="0" fontId="2" fillId="0" borderId="9" xfId="0" applyFont="1" applyBorder="1"/>
    <xf numFmtId="2" fontId="10" fillId="0" borderId="10" xfId="0" applyNumberFormat="1" applyFont="1" applyBorder="1" applyAlignment="1">
      <alignment horizontal="left"/>
    </xf>
    <xf numFmtId="0" fontId="2" fillId="0" borderId="10" xfId="0" applyFont="1" applyBorder="1"/>
    <xf numFmtId="0" fontId="2" fillId="0" borderId="11" xfId="0" applyFont="1" applyBorder="1"/>
    <xf numFmtId="4" fontId="0" fillId="0" borderId="0" xfId="0" applyNumberFormat="1"/>
    <xf numFmtId="0" fontId="8" fillId="0" borderId="10" xfId="0" applyFont="1" applyBorder="1" applyAlignment="1">
      <alignment horizontal="left"/>
    </xf>
    <xf numFmtId="0" fontId="8" fillId="0" borderId="10" xfId="0" applyFont="1" applyBorder="1"/>
    <xf numFmtId="0" fontId="11" fillId="0" borderId="9" xfId="0" applyFont="1" applyBorder="1" applyAlignment="1">
      <alignment vertical="center"/>
    </xf>
    <xf numFmtId="0" fontId="12" fillId="0" borderId="10" xfId="0" applyFont="1" applyBorder="1" applyAlignment="1">
      <alignment horizontal="left" vertical="center" wrapText="1"/>
    </xf>
    <xf numFmtId="0" fontId="13" fillId="0" borderId="10" xfId="0" applyFont="1" applyBorder="1" applyAlignment="1">
      <alignment horizontal="left" vertical="center"/>
    </xf>
    <xf numFmtId="0" fontId="14" fillId="0" borderId="11" xfId="0" applyFont="1" applyBorder="1" applyAlignment="1">
      <alignment vertical="center" wrapText="1"/>
    </xf>
    <xf numFmtId="1" fontId="10" fillId="0" borderId="10" xfId="0" applyNumberFormat="1" applyFont="1" applyBorder="1" applyAlignment="1">
      <alignment horizontal="left"/>
    </xf>
    <xf numFmtId="0" fontId="2" fillId="0" borderId="11" xfId="0" applyFont="1" applyBorder="1" applyAlignment="1">
      <alignment horizontal="left"/>
    </xf>
    <xf numFmtId="0" fontId="15" fillId="0" borderId="16" xfId="0" applyFont="1" applyBorder="1" applyAlignment="1">
      <alignment horizontal="justify" vertical="justify" wrapText="1"/>
    </xf>
    <xf numFmtId="0" fontId="15" fillId="0" borderId="17" xfId="0" applyFont="1" applyBorder="1" applyAlignment="1">
      <alignment horizontal="justify" vertical="justify" wrapText="1"/>
    </xf>
    <xf numFmtId="0" fontId="15" fillId="0" borderId="18" xfId="0" applyFont="1" applyBorder="1" applyAlignment="1">
      <alignment horizontal="justify" vertical="justify" wrapText="1"/>
    </xf>
    <xf numFmtId="165" fontId="0" fillId="0" borderId="0" xfId="0" applyNumberFormat="1"/>
    <xf numFmtId="0" fontId="15" fillId="0" borderId="14" xfId="0" applyFont="1" applyBorder="1" applyAlignment="1">
      <alignment horizontal="justify" vertical="justify" wrapText="1"/>
    </xf>
    <xf numFmtId="0" fontId="15" fillId="0" borderId="19" xfId="0" applyFont="1" applyBorder="1" applyAlignment="1">
      <alignment horizontal="justify" vertical="justify" wrapText="1"/>
    </xf>
    <xf numFmtId="0" fontId="15" fillId="0" borderId="13" xfId="0" applyFont="1" applyBorder="1" applyAlignment="1">
      <alignment horizontal="justify" vertical="justify" wrapText="1"/>
    </xf>
    <xf numFmtId="2" fontId="7" fillId="0" borderId="4" xfId="0" applyNumberFormat="1" applyFont="1" applyBorder="1" applyAlignment="1">
      <alignment horizontal="center"/>
    </xf>
    <xf numFmtId="0" fontId="4" fillId="0" borderId="0" xfId="0" applyFont="1" applyAlignment="1">
      <alignment horizontal="left" wrapText="1"/>
    </xf>
    <xf numFmtId="0" fontId="4" fillId="0" borderId="5" xfId="0" applyFont="1" applyBorder="1" applyAlignment="1">
      <alignment horizontal="left" wrapText="1"/>
    </xf>
    <xf numFmtId="0" fontId="4" fillId="0" borderId="6" xfId="0" applyFont="1" applyBorder="1"/>
    <xf numFmtId="0" fontId="0" fillId="0" borderId="7" xfId="0" applyBorder="1"/>
    <xf numFmtId="0" fontId="4" fillId="0" borderId="7" xfId="0" applyFont="1" applyBorder="1"/>
    <xf numFmtId="0" fontId="0" fillId="0" borderId="8" xfId="0" applyBorder="1"/>
    <xf numFmtId="0" fontId="16" fillId="0" borderId="4" xfId="0" applyFont="1" applyBorder="1" applyAlignment="1">
      <alignment horizontal="left" vertical="center" wrapText="1"/>
    </xf>
    <xf numFmtId="0" fontId="16" fillId="0" borderId="0" xfId="0" applyFont="1" applyAlignment="1">
      <alignment horizontal="left" vertical="center" wrapText="1"/>
    </xf>
    <xf numFmtId="0" fontId="16" fillId="0" borderId="5" xfId="0" applyFont="1" applyBorder="1" applyAlignment="1">
      <alignment horizontal="left" vertical="center" wrapText="1"/>
    </xf>
    <xf numFmtId="0" fontId="16" fillId="0" borderId="4" xfId="0" applyFont="1" applyBorder="1" applyAlignment="1">
      <alignment horizontal="left" vertical="center" wrapText="1"/>
    </xf>
    <xf numFmtId="0" fontId="16" fillId="0" borderId="0" xfId="0" applyFont="1" applyAlignment="1">
      <alignment horizontal="left" vertical="center" wrapText="1"/>
    </xf>
    <xf numFmtId="0" fontId="16" fillId="0" borderId="5" xfId="0" applyFont="1" applyBorder="1" applyAlignment="1">
      <alignment horizontal="left" vertical="center" wrapText="1"/>
    </xf>
    <xf numFmtId="0" fontId="5" fillId="0" borderId="4" xfId="0" applyFont="1" applyBorder="1" applyAlignment="1">
      <alignment horizontal="left" vertical="center" wrapText="1"/>
    </xf>
    <xf numFmtId="0" fontId="5" fillId="0" borderId="0" xfId="0" applyFont="1" applyAlignment="1">
      <alignment horizontal="left" vertical="center" wrapText="1"/>
    </xf>
    <xf numFmtId="0" fontId="5" fillId="0" borderId="5" xfId="0" applyFont="1" applyBorder="1" applyAlignment="1">
      <alignment horizontal="left" vertical="center" wrapText="1"/>
    </xf>
    <xf numFmtId="4" fontId="17" fillId="0" borderId="10" xfId="0" applyNumberFormat="1" applyFont="1" applyBorder="1" applyAlignment="1">
      <alignment horizontal="left"/>
    </xf>
    <xf numFmtId="4" fontId="17" fillId="0" borderId="11" xfId="0" applyNumberFormat="1" applyFont="1" applyBorder="1" applyAlignment="1">
      <alignment horizontal="left"/>
    </xf>
    <xf numFmtId="0" fontId="11" fillId="0" borderId="9" xfId="0" applyFont="1" applyBorder="1"/>
    <xf numFmtId="0" fontId="13" fillId="0" borderId="10" xfId="0" applyFont="1" applyBorder="1" applyAlignment="1">
      <alignment horizontal="left" wrapText="1"/>
    </xf>
    <xf numFmtId="0" fontId="11" fillId="0" borderId="11" xfId="0" applyFont="1" applyBorder="1" applyAlignment="1">
      <alignment wrapText="1"/>
    </xf>
    <xf numFmtId="10" fontId="0" fillId="0" borderId="0" xfId="1" applyNumberFormat="1" applyFont="1" applyBorder="1"/>
    <xf numFmtId="0" fontId="0" fillId="0" borderId="0" xfId="0" applyAlignment="1">
      <alignment horizontal="center"/>
    </xf>
    <xf numFmtId="14" fontId="0" fillId="0" borderId="0" xfId="0" applyNumberFormat="1" applyAlignment="1">
      <alignment wrapText="1"/>
    </xf>
    <xf numFmtId="0" fontId="7" fillId="0" borderId="14" xfId="0" applyFont="1" applyBorder="1" applyAlignment="1">
      <alignment horizontal="left"/>
    </xf>
    <xf numFmtId="0" fontId="7" fillId="0" borderId="15" xfId="0" applyFont="1" applyBorder="1" applyAlignment="1">
      <alignment horizontal="left"/>
    </xf>
    <xf numFmtId="4" fontId="17" fillId="0" borderId="12" xfId="0" applyNumberFormat="1" applyFont="1" applyBorder="1" applyAlignment="1">
      <alignment horizontal="left"/>
    </xf>
    <xf numFmtId="4" fontId="17" fillId="0" borderId="13" xfId="0" applyNumberFormat="1" applyFont="1" applyBorder="1" applyAlignment="1">
      <alignment horizontal="left"/>
    </xf>
    <xf numFmtId="0" fontId="10" fillId="0" borderId="10" xfId="0" applyFont="1" applyBorder="1" applyAlignment="1">
      <alignment horizontal="left"/>
    </xf>
    <xf numFmtId="0" fontId="10" fillId="0" borderId="11" xfId="0" applyFont="1" applyBorder="1" applyAlignment="1">
      <alignment horizontal="left"/>
    </xf>
    <xf numFmtId="0" fontId="2" fillId="0" borderId="10" xfId="0" applyFont="1" applyBorder="1" applyAlignment="1">
      <alignment vertical="center"/>
    </xf>
    <xf numFmtId="0" fontId="8" fillId="0" borderId="11" xfId="0" applyFont="1" applyBorder="1" applyAlignment="1">
      <alignment horizontal="left" vertical="center" wrapText="1"/>
    </xf>
    <xf numFmtId="0" fontId="2" fillId="0" borderId="9" xfId="0" applyFont="1" applyBorder="1" applyAlignment="1">
      <alignment horizontal="left" vertical="center"/>
    </xf>
    <xf numFmtId="0" fontId="8" fillId="0" borderId="10" xfId="0" applyFont="1" applyBorder="1" applyAlignment="1">
      <alignment vertical="center"/>
    </xf>
    <xf numFmtId="0" fontId="18" fillId="0" borderId="11" xfId="0" applyFont="1" applyBorder="1" applyAlignment="1">
      <alignment horizontal="left" vertical="center" wrapText="1"/>
    </xf>
    <xf numFmtId="0" fontId="2" fillId="0" borderId="11" xfId="0" quotePrefix="1" applyFont="1" applyBorder="1" applyAlignment="1">
      <alignment horizontal="left" vertical="center"/>
    </xf>
    <xf numFmtId="1" fontId="10" fillId="0" borderId="10" xfId="0" quotePrefix="1" applyNumberFormat="1" applyFont="1" applyBorder="1" applyAlignment="1">
      <alignment horizontal="left"/>
    </xf>
    <xf numFmtId="0" fontId="10" fillId="0" borderId="10" xfId="0" applyFont="1" applyBorder="1" applyAlignment="1">
      <alignment vertical="center"/>
    </xf>
    <xf numFmtId="1" fontId="10" fillId="0" borderId="11" xfId="0" quotePrefix="1" applyNumberFormat="1" applyFont="1" applyBorder="1" applyAlignment="1">
      <alignment horizontal="left" vertical="center"/>
    </xf>
    <xf numFmtId="167" fontId="7" fillId="2" borderId="12" xfId="0" applyNumberFormat="1" applyFont="1" applyFill="1" applyBorder="1" applyAlignment="1" applyProtection="1">
      <alignment horizontal="left"/>
      <protection locked="0"/>
    </xf>
    <xf numFmtId="167" fontId="7" fillId="2" borderId="13" xfId="0" applyNumberFormat="1" applyFont="1" applyFill="1" applyBorder="1" applyAlignment="1" applyProtection="1">
      <alignment horizontal="left"/>
      <protection locked="0"/>
    </xf>
    <xf numFmtId="167" fontId="0" fillId="0" borderId="0" xfId="0" applyNumberFormat="1"/>
    <xf numFmtId="2" fontId="3" fillId="3" borderId="12" xfId="0" applyNumberFormat="1" applyFont="1" applyFill="1" applyBorder="1" applyAlignment="1">
      <alignment horizontal="left"/>
    </xf>
    <xf numFmtId="2" fontId="3" fillId="3" borderId="13" xfId="0" applyNumberFormat="1" applyFont="1" applyFill="1" applyBorder="1" applyAlignment="1">
      <alignment horizontal="left"/>
    </xf>
    <xf numFmtId="0" fontId="19" fillId="0" borderId="14" xfId="0" applyFont="1" applyBorder="1" applyAlignment="1">
      <alignment horizontal="left" vertical="center"/>
    </xf>
    <xf numFmtId="0" fontId="19" fillId="0" borderId="15" xfId="0" applyFont="1" applyBorder="1" applyAlignment="1">
      <alignment horizontal="left" vertical="center"/>
    </xf>
    <xf numFmtId="2" fontId="19" fillId="0" borderId="14" xfId="0" applyNumberFormat="1" applyFont="1" applyBorder="1" applyAlignment="1">
      <alignment horizontal="left"/>
    </xf>
    <xf numFmtId="2" fontId="19" fillId="0" borderId="13" xfId="0" applyNumberFormat="1" applyFont="1" applyBorder="1" applyAlignment="1">
      <alignment horizontal="left"/>
    </xf>
    <xf numFmtId="4" fontId="19" fillId="0" borderId="14" xfId="0" applyNumberFormat="1" applyFont="1" applyBorder="1" applyAlignment="1">
      <alignment horizontal="left"/>
    </xf>
    <xf numFmtId="4" fontId="19" fillId="0" borderId="13" xfId="0" applyNumberFormat="1" applyFont="1" applyBorder="1" applyAlignment="1">
      <alignment horizontal="left"/>
    </xf>
    <xf numFmtId="0" fontId="8" fillId="0" borderId="9" xfId="0" applyFont="1" applyBorder="1" applyAlignment="1">
      <alignment vertical="center"/>
    </xf>
    <xf numFmtId="0" fontId="13" fillId="0" borderId="11" xfId="0" applyFont="1" applyBorder="1" applyAlignment="1">
      <alignment horizontal="left" vertical="center" wrapText="1"/>
    </xf>
    <xf numFmtId="0" fontId="8" fillId="0" borderId="9" xfId="0" applyFont="1" applyBorder="1"/>
    <xf numFmtId="0" fontId="13" fillId="0" borderId="11" xfId="0" applyFont="1" applyBorder="1"/>
    <xf numFmtId="0" fontId="8" fillId="0" borderId="10" xfId="0" quotePrefix="1" applyFont="1" applyBorder="1" applyAlignment="1">
      <alignment horizontal="left"/>
    </xf>
    <xf numFmtId="0" fontId="8" fillId="0" borderId="11" xfId="0" applyFont="1" applyBorder="1" applyAlignment="1">
      <alignment horizontal="left"/>
    </xf>
    <xf numFmtId="1" fontId="10" fillId="0" borderId="11" xfId="0" quotePrefix="1" applyNumberFormat="1" applyFont="1" applyBorder="1" applyAlignment="1">
      <alignment horizontal="left"/>
    </xf>
    <xf numFmtId="0" fontId="4" fillId="0" borderId="8" xfId="0" applyFont="1" applyBorder="1"/>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emf"/></Relationships>
</file>

<file path=xl/drawings/_rels/drawing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emf"/></Relationships>
</file>

<file path=xl/drawings/_rels/drawing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xdr:from>
      <xdr:col>0</xdr:col>
      <xdr:colOff>219073</xdr:colOff>
      <xdr:row>0</xdr:row>
      <xdr:rowOff>76200</xdr:rowOff>
    </xdr:from>
    <xdr:to>
      <xdr:col>3</xdr:col>
      <xdr:colOff>1533525</xdr:colOff>
      <xdr:row>2</xdr:row>
      <xdr:rowOff>123825</xdr:rowOff>
    </xdr:to>
    <xdr:pic>
      <xdr:nvPicPr>
        <xdr:cNvPr id="2" name="Picture 1">
          <a:extLst>
            <a:ext uri="{FF2B5EF4-FFF2-40B4-BE49-F238E27FC236}">
              <a16:creationId xmlns:a16="http://schemas.microsoft.com/office/drawing/2014/main" id="{AD40A704-C0D9-4CB3-880D-8053D64F80DC}"/>
            </a:ext>
          </a:extLst>
        </xdr:cNvPr>
        <xdr:cNvPicPr>
          <a:picLocks noChangeAspect="1" noChangeArrowheads="1"/>
        </xdr:cNvPicPr>
      </xdr:nvPicPr>
      <xdr:blipFill>
        <a:blip xmlns:r="http://schemas.openxmlformats.org/officeDocument/2006/relationships" r:embed="rId1"/>
        <a:srcRect/>
        <a:stretch>
          <a:fillRect/>
        </a:stretch>
      </xdr:blipFill>
      <xdr:spPr>
        <a:xfrm>
          <a:off x="219073" y="76200"/>
          <a:ext cx="6153152" cy="428625"/>
        </a:xfrm>
        <a:prstGeom prst="rect">
          <a:avLst/>
        </a:prstGeom>
        <a:noFill/>
        <a:ln w="9525">
          <a:noFill/>
          <a:miter lim="800000"/>
          <a:headEnd/>
          <a:tailEnd/>
        </a:ln>
      </xdr:spPr>
    </xdr:pic>
    <xdr:clientData/>
  </xdr:twoCellAnchor>
  <xdr:twoCellAnchor editAs="oneCell">
    <xdr:from>
      <xdr:col>0</xdr:col>
      <xdr:colOff>200010</xdr:colOff>
      <xdr:row>42</xdr:row>
      <xdr:rowOff>104775</xdr:rowOff>
    </xdr:from>
    <xdr:to>
      <xdr:col>3</xdr:col>
      <xdr:colOff>1352550</xdr:colOff>
      <xdr:row>44</xdr:row>
      <xdr:rowOff>104775</xdr:rowOff>
    </xdr:to>
    <xdr:pic>
      <xdr:nvPicPr>
        <xdr:cNvPr id="4" name="Picture 2">
          <a:extLst>
            <a:ext uri="{FF2B5EF4-FFF2-40B4-BE49-F238E27FC236}">
              <a16:creationId xmlns:a16="http://schemas.microsoft.com/office/drawing/2014/main" id="{23F450BA-A457-430B-B0B0-F2E76531CBDB}"/>
            </a:ext>
          </a:extLst>
        </xdr:cNvPr>
        <xdr:cNvPicPr>
          <a:picLocks noChangeAspect="1" noChangeArrowheads="1"/>
        </xdr:cNvPicPr>
      </xdr:nvPicPr>
      <xdr:blipFill>
        <a:blip xmlns:r="http://schemas.openxmlformats.org/officeDocument/2006/relationships" r:embed="rId2"/>
        <a:srcRect/>
        <a:stretch>
          <a:fillRect/>
        </a:stretch>
      </xdr:blipFill>
      <xdr:spPr bwMode="auto">
        <a:xfrm>
          <a:off x="200010" y="9315450"/>
          <a:ext cx="6086490" cy="381000"/>
        </a:xfrm>
        <a:prstGeom prst="rect">
          <a:avLst/>
        </a:prstGeom>
        <a:noFill/>
        <a:ln w="1">
          <a:noFill/>
          <a:miter lim="800000"/>
          <a:headEnd/>
          <a:tailEnd type="none" w="med" len="med"/>
        </a:ln>
        <a:effec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85723</xdr:colOff>
      <xdr:row>0</xdr:row>
      <xdr:rowOff>47624</xdr:rowOff>
    </xdr:from>
    <xdr:to>
      <xdr:col>3</xdr:col>
      <xdr:colOff>1400175</xdr:colOff>
      <xdr:row>2</xdr:row>
      <xdr:rowOff>114299</xdr:rowOff>
    </xdr:to>
    <xdr:pic>
      <xdr:nvPicPr>
        <xdr:cNvPr id="2" name="Picture 1">
          <a:extLst>
            <a:ext uri="{FF2B5EF4-FFF2-40B4-BE49-F238E27FC236}">
              <a16:creationId xmlns:a16="http://schemas.microsoft.com/office/drawing/2014/main" id="{B07AD8F6-84F7-4E79-B7BB-F0CFF2ECF367}"/>
            </a:ext>
          </a:extLst>
        </xdr:cNvPr>
        <xdr:cNvPicPr>
          <a:picLocks noChangeAspect="1" noChangeArrowheads="1"/>
        </xdr:cNvPicPr>
      </xdr:nvPicPr>
      <xdr:blipFill>
        <a:blip xmlns:r="http://schemas.openxmlformats.org/officeDocument/2006/relationships" r:embed="rId1"/>
        <a:srcRect/>
        <a:stretch>
          <a:fillRect/>
        </a:stretch>
      </xdr:blipFill>
      <xdr:spPr>
        <a:xfrm>
          <a:off x="85723" y="47624"/>
          <a:ext cx="5972177" cy="485775"/>
        </a:xfrm>
        <a:prstGeom prst="rect">
          <a:avLst/>
        </a:prstGeom>
        <a:noFill/>
        <a:ln w="9525">
          <a:noFill/>
          <a:miter lim="800000"/>
          <a:headEnd/>
          <a:tailEnd/>
        </a:ln>
      </xdr:spPr>
    </xdr:pic>
    <xdr:clientData/>
  </xdr:twoCellAnchor>
  <xdr:twoCellAnchor editAs="oneCell">
    <xdr:from>
      <xdr:col>0</xdr:col>
      <xdr:colOff>133335</xdr:colOff>
      <xdr:row>39</xdr:row>
      <xdr:rowOff>180974</xdr:rowOff>
    </xdr:from>
    <xdr:to>
      <xdr:col>3</xdr:col>
      <xdr:colOff>1162049</xdr:colOff>
      <xdr:row>41</xdr:row>
      <xdr:rowOff>133350</xdr:rowOff>
    </xdr:to>
    <xdr:pic>
      <xdr:nvPicPr>
        <xdr:cNvPr id="4" name="Picture 2">
          <a:extLst>
            <a:ext uri="{FF2B5EF4-FFF2-40B4-BE49-F238E27FC236}">
              <a16:creationId xmlns:a16="http://schemas.microsoft.com/office/drawing/2014/main" id="{172B5338-F467-42E0-A74D-F11B2F257669}"/>
            </a:ext>
          </a:extLst>
        </xdr:cNvPr>
        <xdr:cNvPicPr>
          <a:picLocks noChangeAspect="1" noChangeArrowheads="1"/>
        </xdr:cNvPicPr>
      </xdr:nvPicPr>
      <xdr:blipFill>
        <a:blip xmlns:r="http://schemas.openxmlformats.org/officeDocument/2006/relationships" r:embed="rId2"/>
        <a:srcRect/>
        <a:stretch>
          <a:fillRect/>
        </a:stretch>
      </xdr:blipFill>
      <xdr:spPr bwMode="auto">
        <a:xfrm>
          <a:off x="133335" y="8934449"/>
          <a:ext cx="5686439" cy="333376"/>
        </a:xfrm>
        <a:prstGeom prst="rect">
          <a:avLst/>
        </a:prstGeom>
        <a:noFill/>
        <a:ln w="1">
          <a:noFill/>
          <a:miter lim="800000"/>
          <a:headEnd/>
          <a:tailEnd type="none" w="med" len="med"/>
        </a:ln>
        <a:effec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152398</xdr:colOff>
      <xdr:row>0</xdr:row>
      <xdr:rowOff>76199</xdr:rowOff>
    </xdr:from>
    <xdr:to>
      <xdr:col>3</xdr:col>
      <xdr:colOff>1466850</xdr:colOff>
      <xdr:row>2</xdr:row>
      <xdr:rowOff>114300</xdr:rowOff>
    </xdr:to>
    <xdr:pic>
      <xdr:nvPicPr>
        <xdr:cNvPr id="2" name="Picture 1">
          <a:extLst>
            <a:ext uri="{FF2B5EF4-FFF2-40B4-BE49-F238E27FC236}">
              <a16:creationId xmlns:a16="http://schemas.microsoft.com/office/drawing/2014/main" id="{D6DF24D1-0D9B-4696-8D80-098F6667AFCA}"/>
            </a:ext>
          </a:extLst>
        </xdr:cNvPr>
        <xdr:cNvPicPr>
          <a:picLocks noChangeAspect="1" noChangeArrowheads="1"/>
        </xdr:cNvPicPr>
      </xdr:nvPicPr>
      <xdr:blipFill>
        <a:blip xmlns:r="http://schemas.openxmlformats.org/officeDocument/2006/relationships" r:embed="rId1"/>
        <a:srcRect/>
        <a:stretch>
          <a:fillRect/>
        </a:stretch>
      </xdr:blipFill>
      <xdr:spPr>
        <a:xfrm>
          <a:off x="152398" y="76199"/>
          <a:ext cx="5438777" cy="514351"/>
        </a:xfrm>
        <a:prstGeom prst="rect">
          <a:avLst/>
        </a:prstGeom>
        <a:noFill/>
        <a:ln w="9525">
          <a:noFill/>
          <a:miter lim="800000"/>
          <a:headEnd/>
          <a:tailEnd/>
        </a:ln>
      </xdr:spPr>
    </xdr:pic>
    <xdr:clientData/>
  </xdr:twoCellAnchor>
  <xdr:twoCellAnchor editAs="oneCell">
    <xdr:from>
      <xdr:col>0</xdr:col>
      <xdr:colOff>409562</xdr:colOff>
      <xdr:row>41</xdr:row>
      <xdr:rowOff>9525</xdr:rowOff>
    </xdr:from>
    <xdr:to>
      <xdr:col>3</xdr:col>
      <xdr:colOff>1142999</xdr:colOff>
      <xdr:row>43</xdr:row>
      <xdr:rowOff>28575</xdr:rowOff>
    </xdr:to>
    <xdr:pic>
      <xdr:nvPicPr>
        <xdr:cNvPr id="4" name="Picture 2">
          <a:extLst>
            <a:ext uri="{FF2B5EF4-FFF2-40B4-BE49-F238E27FC236}">
              <a16:creationId xmlns:a16="http://schemas.microsoft.com/office/drawing/2014/main" id="{07EA02CC-5C00-4A14-8CC9-4BADBB9186D8}"/>
            </a:ext>
          </a:extLst>
        </xdr:cNvPr>
        <xdr:cNvPicPr>
          <a:picLocks noChangeAspect="1" noChangeArrowheads="1"/>
        </xdr:cNvPicPr>
      </xdr:nvPicPr>
      <xdr:blipFill>
        <a:blip xmlns:r="http://schemas.openxmlformats.org/officeDocument/2006/relationships" r:embed="rId2"/>
        <a:srcRect/>
        <a:stretch>
          <a:fillRect/>
        </a:stretch>
      </xdr:blipFill>
      <xdr:spPr bwMode="auto">
        <a:xfrm>
          <a:off x="409562" y="8124825"/>
          <a:ext cx="4933962" cy="400050"/>
        </a:xfrm>
        <a:prstGeom prst="rect">
          <a:avLst/>
        </a:prstGeom>
        <a:noFill/>
        <a:ln w="1">
          <a:noFill/>
          <a:miter lim="800000"/>
          <a:headEnd/>
          <a:tailEnd type="none" w="med" len="med"/>
        </a:ln>
        <a:effectLst/>
      </xdr:spPr>
    </xdr:pic>
    <xdr:clientData/>
  </xdr:twoCellAnchor>
</xdr:wsDr>
</file>

<file path=xl/drawings/drawing4.xml><?xml version="1.0" encoding="utf-8"?>
<xdr:wsDr xmlns:xdr="http://schemas.openxmlformats.org/drawingml/2006/spreadsheetDrawing" xmlns:a="http://schemas.openxmlformats.org/drawingml/2006/main">
  <xdr:twoCellAnchor>
    <xdr:from>
      <xdr:col>0</xdr:col>
      <xdr:colOff>85723</xdr:colOff>
      <xdr:row>0</xdr:row>
      <xdr:rowOff>47624</xdr:rowOff>
    </xdr:from>
    <xdr:to>
      <xdr:col>3</xdr:col>
      <xdr:colOff>1257299</xdr:colOff>
      <xdr:row>2</xdr:row>
      <xdr:rowOff>114299</xdr:rowOff>
    </xdr:to>
    <xdr:pic>
      <xdr:nvPicPr>
        <xdr:cNvPr id="2" name="Picture 1">
          <a:extLst>
            <a:ext uri="{FF2B5EF4-FFF2-40B4-BE49-F238E27FC236}">
              <a16:creationId xmlns:a16="http://schemas.microsoft.com/office/drawing/2014/main" id="{570ACC35-B932-4237-B347-FA0631DD1E68}"/>
            </a:ext>
          </a:extLst>
        </xdr:cNvPr>
        <xdr:cNvPicPr>
          <a:picLocks noChangeAspect="1" noChangeArrowheads="1"/>
        </xdr:cNvPicPr>
      </xdr:nvPicPr>
      <xdr:blipFill>
        <a:blip xmlns:r="http://schemas.openxmlformats.org/officeDocument/2006/relationships" r:embed="rId1"/>
        <a:srcRect/>
        <a:stretch>
          <a:fillRect/>
        </a:stretch>
      </xdr:blipFill>
      <xdr:spPr>
        <a:xfrm>
          <a:off x="85723" y="47624"/>
          <a:ext cx="5657851" cy="523875"/>
        </a:xfrm>
        <a:prstGeom prst="rect">
          <a:avLst/>
        </a:prstGeom>
        <a:noFill/>
        <a:ln w="9525">
          <a:noFill/>
          <a:miter lim="800000"/>
          <a:headEnd/>
          <a:tailEnd/>
        </a:ln>
      </xdr:spPr>
    </xdr:pic>
    <xdr:clientData/>
  </xdr:twoCellAnchor>
  <xdr:twoCellAnchor editAs="oneCell">
    <xdr:from>
      <xdr:col>0</xdr:col>
      <xdr:colOff>323841</xdr:colOff>
      <xdr:row>41</xdr:row>
      <xdr:rowOff>133350</xdr:rowOff>
    </xdr:from>
    <xdr:to>
      <xdr:col>3</xdr:col>
      <xdr:colOff>457200</xdr:colOff>
      <xdr:row>43</xdr:row>
      <xdr:rowOff>152400</xdr:rowOff>
    </xdr:to>
    <xdr:pic>
      <xdr:nvPicPr>
        <xdr:cNvPr id="4" name="Picture 2">
          <a:extLst>
            <a:ext uri="{FF2B5EF4-FFF2-40B4-BE49-F238E27FC236}">
              <a16:creationId xmlns:a16="http://schemas.microsoft.com/office/drawing/2014/main" id="{E6259724-6CEE-42A4-96A7-4820E6387BD1}"/>
            </a:ext>
          </a:extLst>
        </xdr:cNvPr>
        <xdr:cNvPicPr>
          <a:picLocks noChangeAspect="1" noChangeArrowheads="1"/>
        </xdr:cNvPicPr>
      </xdr:nvPicPr>
      <xdr:blipFill>
        <a:blip xmlns:r="http://schemas.openxmlformats.org/officeDocument/2006/relationships" r:embed="rId2"/>
        <a:srcRect/>
        <a:stretch>
          <a:fillRect/>
        </a:stretch>
      </xdr:blipFill>
      <xdr:spPr bwMode="auto">
        <a:xfrm>
          <a:off x="323841" y="8334375"/>
          <a:ext cx="4695834" cy="400050"/>
        </a:xfrm>
        <a:prstGeom prst="rect">
          <a:avLst/>
        </a:prstGeom>
        <a:noFill/>
        <a:ln w="1">
          <a:noFill/>
          <a:miter lim="800000"/>
          <a:headEnd/>
          <a:tailEnd type="none" w="med" len="med"/>
        </a:ln>
        <a:effec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7F9231-8F57-4D09-950E-5226481986ED}">
  <dimension ref="A1:J46"/>
  <sheetViews>
    <sheetView workbookViewId="0">
      <selection activeCell="K24" sqref="K24"/>
    </sheetView>
  </sheetViews>
  <sheetFormatPr defaultColWidth="9" defaultRowHeight="15" x14ac:dyDescent="0.25"/>
  <cols>
    <col min="1" max="1" width="17.28515625" customWidth="1"/>
    <col min="2" max="2" width="31" customWidth="1"/>
    <col min="3" max="3" width="24.28515625" customWidth="1"/>
    <col min="4" max="4" width="26.5703125" customWidth="1"/>
    <col min="6" max="6" width="13.140625" customWidth="1"/>
    <col min="8" max="8" width="6.140625" customWidth="1"/>
    <col min="9" max="9" width="13.42578125" customWidth="1"/>
  </cols>
  <sheetData>
    <row r="1" spans="1:9" ht="18" customHeight="1" x14ac:dyDescent="0.25">
      <c r="A1" s="1"/>
      <c r="B1" s="2"/>
      <c r="C1" s="2"/>
      <c r="D1" s="3"/>
    </row>
    <row r="2" spans="1:9" ht="12" customHeight="1" x14ac:dyDescent="0.25">
      <c r="A2" s="4"/>
      <c r="B2" s="5"/>
      <c r="C2" s="5"/>
      <c r="D2" s="6"/>
    </row>
    <row r="3" spans="1:9" ht="15.75" thickBot="1" x14ac:dyDescent="0.3">
      <c r="A3" s="7"/>
      <c r="B3" s="8"/>
      <c r="C3" s="8"/>
      <c r="D3" s="9"/>
    </row>
    <row r="4" spans="1:9" x14ac:dyDescent="0.25">
      <c r="A4" s="10">
        <v>46288</v>
      </c>
      <c r="B4" s="11"/>
      <c r="C4" s="12"/>
      <c r="D4" s="13"/>
    </row>
    <row r="5" spans="1:9" x14ac:dyDescent="0.25">
      <c r="A5" s="14" t="s">
        <v>77</v>
      </c>
      <c r="B5" s="15"/>
      <c r="C5" s="12"/>
      <c r="D5" s="13"/>
    </row>
    <row r="6" spans="1:9" ht="17.25" customHeight="1" x14ac:dyDescent="0.25">
      <c r="A6" s="14"/>
      <c r="B6" s="15"/>
      <c r="C6" s="12"/>
      <c r="D6" s="13"/>
    </row>
    <row r="7" spans="1:9" ht="16.5" x14ac:dyDescent="0.25">
      <c r="A7" s="100" t="s">
        <v>46</v>
      </c>
      <c r="B7" s="101"/>
      <c r="C7" s="101"/>
      <c r="D7" s="102"/>
    </row>
    <row r="8" spans="1:9" ht="18.75" customHeight="1" x14ac:dyDescent="0.25">
      <c r="A8" s="19" t="s">
        <v>47</v>
      </c>
      <c r="B8" s="20"/>
      <c r="C8" s="20"/>
      <c r="D8" s="21"/>
    </row>
    <row r="9" spans="1:9" ht="17.25" customHeight="1" x14ac:dyDescent="0.25">
      <c r="A9" s="22"/>
      <c r="B9" s="23"/>
      <c r="C9" s="23"/>
      <c r="D9" s="24"/>
    </row>
    <row r="10" spans="1:9" x14ac:dyDescent="0.25">
      <c r="A10" s="25" t="s">
        <v>1</v>
      </c>
      <c r="B10" s="26"/>
      <c r="C10" s="12"/>
      <c r="D10" s="13"/>
    </row>
    <row r="11" spans="1:9" x14ac:dyDescent="0.25">
      <c r="A11" s="25" t="s">
        <v>2</v>
      </c>
      <c r="B11" s="26"/>
      <c r="C11" s="12"/>
      <c r="D11" s="13"/>
    </row>
    <row r="12" spans="1:9" x14ac:dyDescent="0.25">
      <c r="A12" s="27" t="s">
        <v>3</v>
      </c>
      <c r="B12" s="28"/>
      <c r="C12" s="29" t="s">
        <v>4</v>
      </c>
      <c r="D12" s="30"/>
      <c r="G12" s="31"/>
      <c r="I12" s="89"/>
    </row>
    <row r="13" spans="1:9" x14ac:dyDescent="0.25">
      <c r="A13" s="27" t="s">
        <v>5</v>
      </c>
      <c r="B13" s="28"/>
      <c r="C13" s="32" t="s">
        <v>59</v>
      </c>
      <c r="D13" s="33"/>
      <c r="G13" s="34"/>
      <c r="I13" s="89"/>
    </row>
    <row r="14" spans="1:9" x14ac:dyDescent="0.25">
      <c r="A14" s="27" t="s">
        <v>7</v>
      </c>
      <c r="B14" s="28"/>
      <c r="C14" s="35">
        <v>46288</v>
      </c>
      <c r="D14" s="36"/>
      <c r="I14" s="89"/>
    </row>
    <row r="15" spans="1:9" x14ac:dyDescent="0.25">
      <c r="A15" s="38" t="s">
        <v>8</v>
      </c>
      <c r="B15" s="39"/>
      <c r="C15" s="40">
        <v>46288</v>
      </c>
      <c r="D15" s="41"/>
      <c r="F15" s="114"/>
      <c r="I15" s="89"/>
    </row>
    <row r="16" spans="1:9" x14ac:dyDescent="0.25">
      <c r="A16" s="38" t="s">
        <v>9</v>
      </c>
      <c r="B16" s="39"/>
      <c r="C16" s="43" t="s">
        <v>60</v>
      </c>
      <c r="D16" s="44"/>
      <c r="I16" s="89"/>
    </row>
    <row r="17" spans="1:10" ht="13.5" customHeight="1" x14ac:dyDescent="0.25">
      <c r="A17" s="38" t="s">
        <v>11</v>
      </c>
      <c r="B17" s="39"/>
      <c r="C17" s="45">
        <v>100</v>
      </c>
      <c r="D17" s="46"/>
      <c r="F17" s="115"/>
      <c r="G17" s="115"/>
      <c r="H17" s="116"/>
      <c r="I17" s="89"/>
    </row>
    <row r="18" spans="1:10" ht="15" customHeight="1" x14ac:dyDescent="0.25">
      <c r="A18" s="47" t="s">
        <v>12</v>
      </c>
      <c r="B18" s="48"/>
      <c r="C18" s="49" t="s">
        <v>61</v>
      </c>
      <c r="D18" s="50"/>
      <c r="H18" s="34"/>
      <c r="I18" s="89"/>
      <c r="J18" s="37"/>
    </row>
    <row r="19" spans="1:10" x14ac:dyDescent="0.25">
      <c r="A19" s="51" t="s">
        <v>49</v>
      </c>
      <c r="B19" s="52"/>
      <c r="C19" s="53">
        <v>53488</v>
      </c>
      <c r="D19" s="54"/>
      <c r="F19" s="55"/>
      <c r="I19" s="89"/>
    </row>
    <row r="20" spans="1:10" x14ac:dyDescent="0.25">
      <c r="A20" s="51" t="s">
        <v>50</v>
      </c>
      <c r="B20" s="52"/>
      <c r="C20" s="56" t="s">
        <v>62</v>
      </c>
      <c r="D20" s="57"/>
      <c r="I20" s="89"/>
    </row>
    <row r="21" spans="1:10" x14ac:dyDescent="0.25">
      <c r="A21" s="51" t="s">
        <v>17</v>
      </c>
      <c r="B21" s="52"/>
      <c r="C21" s="32">
        <v>46183</v>
      </c>
      <c r="D21" s="33"/>
      <c r="I21" s="89"/>
    </row>
    <row r="22" spans="1:10" x14ac:dyDescent="0.25">
      <c r="A22" s="51" t="s">
        <v>18</v>
      </c>
      <c r="B22" s="52"/>
      <c r="C22" s="59">
        <v>7.8200000000000006E-2</v>
      </c>
      <c r="D22" s="60"/>
      <c r="I22" s="89"/>
    </row>
    <row r="23" spans="1:10" x14ac:dyDescent="0.25">
      <c r="A23" s="51" t="s">
        <v>51</v>
      </c>
      <c r="B23" s="52"/>
      <c r="C23" s="61">
        <f>COUPDAYBS(C15,C19,2,4)</f>
        <v>103</v>
      </c>
      <c r="D23" s="62"/>
      <c r="I23" s="89"/>
    </row>
    <row r="24" spans="1:10" x14ac:dyDescent="0.25">
      <c r="A24" s="51" t="s">
        <v>52</v>
      </c>
      <c r="B24" s="52"/>
      <c r="C24" s="61">
        <v>10000</v>
      </c>
      <c r="D24" s="62"/>
      <c r="I24" s="89"/>
    </row>
    <row r="25" spans="1:10" x14ac:dyDescent="0.25">
      <c r="A25" s="51" t="s">
        <v>53</v>
      </c>
      <c r="B25" s="52"/>
      <c r="C25" s="63">
        <f>100*C24</f>
        <v>1000000</v>
      </c>
      <c r="D25" s="64"/>
      <c r="I25" s="89"/>
    </row>
    <row r="26" spans="1:10" x14ac:dyDescent="0.25">
      <c r="A26" s="65" t="s">
        <v>54</v>
      </c>
      <c r="B26" s="66"/>
      <c r="C26" s="67">
        <f>C25*C17/100</f>
        <v>1000000</v>
      </c>
      <c r="D26" s="68"/>
      <c r="I26" s="89"/>
    </row>
    <row r="27" spans="1:10" x14ac:dyDescent="0.25">
      <c r="A27" s="65" t="s">
        <v>23</v>
      </c>
      <c r="B27" s="66"/>
      <c r="C27" s="69">
        <f>C25*C22*C23/360</f>
        <v>22373.888888888891</v>
      </c>
      <c r="D27" s="70"/>
      <c r="I27" s="89"/>
    </row>
    <row r="28" spans="1:10" ht="17.25" x14ac:dyDescent="0.4">
      <c r="A28" s="65" t="s">
        <v>63</v>
      </c>
      <c r="B28" s="66"/>
      <c r="C28" s="109">
        <f>C26+C27</f>
        <v>1022373.8888888889</v>
      </c>
      <c r="D28" s="110"/>
      <c r="I28" s="89"/>
    </row>
    <row r="29" spans="1:10" ht="17.25" x14ac:dyDescent="0.4">
      <c r="A29" s="117" t="s">
        <v>64</v>
      </c>
      <c r="B29" s="118"/>
      <c r="C29" s="119">
        <v>0</v>
      </c>
      <c r="D29" s="120"/>
      <c r="I29" s="89"/>
    </row>
    <row r="30" spans="1:10" ht="17.25" x14ac:dyDescent="0.4">
      <c r="A30" s="117" t="s">
        <v>65</v>
      </c>
      <c r="B30" s="118"/>
      <c r="C30" s="119">
        <f>C28-C29</f>
        <v>1022373.8888888889</v>
      </c>
      <c r="D30" s="120"/>
      <c r="I30" s="89"/>
    </row>
    <row r="31" spans="1:10" x14ac:dyDescent="0.25">
      <c r="A31" s="65" t="s">
        <v>66</v>
      </c>
      <c r="B31" s="66"/>
      <c r="C31" s="121" t="s">
        <v>67</v>
      </c>
      <c r="D31" s="122"/>
    </row>
    <row r="32" spans="1:10" x14ac:dyDescent="0.25">
      <c r="A32" s="73" t="s">
        <v>26</v>
      </c>
      <c r="B32" s="74" t="s">
        <v>27</v>
      </c>
      <c r="C32" s="123" t="s">
        <v>28</v>
      </c>
      <c r="D32" s="124"/>
      <c r="I32" s="89"/>
    </row>
    <row r="33" spans="1:9" x14ac:dyDescent="0.25">
      <c r="A33" s="125" t="s">
        <v>68</v>
      </c>
      <c r="B33" s="81" t="s">
        <v>69</v>
      </c>
      <c r="C33" s="126" t="s">
        <v>70</v>
      </c>
      <c r="D33" s="127"/>
      <c r="I33" s="89"/>
    </row>
    <row r="34" spans="1:9" ht="13.5" customHeight="1" x14ac:dyDescent="0.25">
      <c r="A34" s="73" t="s">
        <v>71</v>
      </c>
      <c r="B34" s="78" t="s">
        <v>72</v>
      </c>
      <c r="C34" s="126" t="s">
        <v>73</v>
      </c>
      <c r="D34" s="128"/>
      <c r="I34" s="89"/>
    </row>
    <row r="35" spans="1:9" ht="14.25" customHeight="1" x14ac:dyDescent="0.25">
      <c r="A35" s="73" t="s">
        <v>31</v>
      </c>
      <c r="B35" s="78" t="s">
        <v>74</v>
      </c>
      <c r="C35" s="126" t="s">
        <v>75</v>
      </c>
      <c r="D35" s="128"/>
      <c r="I35" s="89"/>
    </row>
    <row r="36" spans="1:9" x14ac:dyDescent="0.25">
      <c r="A36" s="73" t="s">
        <v>38</v>
      </c>
      <c r="B36" s="129" t="s">
        <v>76</v>
      </c>
      <c r="C36" s="130"/>
      <c r="D36" s="131"/>
      <c r="I36" s="89"/>
    </row>
    <row r="37" spans="1:9" ht="78" customHeight="1" x14ac:dyDescent="0.25">
      <c r="A37" s="86" t="s">
        <v>42</v>
      </c>
      <c r="B37" s="87"/>
      <c r="C37" s="87"/>
      <c r="D37" s="88"/>
      <c r="I37" s="89"/>
    </row>
    <row r="38" spans="1:9" ht="35.25" customHeight="1" x14ac:dyDescent="0.25">
      <c r="A38" s="90" t="s">
        <v>43</v>
      </c>
      <c r="B38" s="91"/>
      <c r="C38" s="91"/>
      <c r="D38" s="92"/>
      <c r="I38" s="89"/>
    </row>
    <row r="39" spans="1:9" x14ac:dyDescent="0.25">
      <c r="A39" s="25" t="s">
        <v>44</v>
      </c>
      <c r="B39" s="26"/>
      <c r="C39" s="12"/>
      <c r="D39" s="13"/>
      <c r="I39" s="89"/>
    </row>
    <row r="40" spans="1:9" x14ac:dyDescent="0.25">
      <c r="A40" s="93"/>
      <c r="B40" s="26"/>
      <c r="C40" s="12"/>
      <c r="D40" s="13"/>
      <c r="I40" s="89"/>
    </row>
    <row r="41" spans="1:9" x14ac:dyDescent="0.25">
      <c r="A41" s="93"/>
      <c r="B41" s="12"/>
      <c r="C41" s="94" t="str">
        <f>A7</f>
        <v>Counterparty Name-</v>
      </c>
      <c r="D41" s="95"/>
      <c r="I41" s="89"/>
    </row>
    <row r="42" spans="1:9" x14ac:dyDescent="0.25">
      <c r="A42" s="14" t="s">
        <v>45</v>
      </c>
      <c r="B42" s="12"/>
      <c r="C42" s="15" t="s">
        <v>45</v>
      </c>
      <c r="D42" s="13"/>
      <c r="I42" s="89"/>
    </row>
    <row r="43" spans="1:9" x14ac:dyDescent="0.25">
      <c r="A43" s="14"/>
      <c r="B43" s="12"/>
      <c r="C43" s="15"/>
      <c r="D43" s="13"/>
      <c r="I43" s="89"/>
    </row>
    <row r="44" spans="1:9" x14ac:dyDescent="0.25">
      <c r="A44" s="14"/>
      <c r="B44" s="12"/>
      <c r="C44" s="15"/>
      <c r="D44" s="13"/>
    </row>
    <row r="45" spans="1:9" ht="15.75" thickBot="1" x14ac:dyDescent="0.3">
      <c r="A45" s="96"/>
      <c r="B45" s="97"/>
      <c r="C45" s="98"/>
      <c r="D45" s="99"/>
    </row>
    <row r="46" spans="1:9" x14ac:dyDescent="0.25">
      <c r="A46" s="12"/>
      <c r="B46" s="12"/>
      <c r="C46" s="12"/>
      <c r="D46" s="12"/>
    </row>
  </sheetData>
  <mergeCells count="47">
    <mergeCell ref="A37:D37"/>
    <mergeCell ref="A38:D38"/>
    <mergeCell ref="A40:A41"/>
    <mergeCell ref="C41:D41"/>
    <mergeCell ref="A29:B29"/>
    <mergeCell ref="C29:D29"/>
    <mergeCell ref="A30:B30"/>
    <mergeCell ref="C30:D30"/>
    <mergeCell ref="A31:B31"/>
    <mergeCell ref="C31:D31"/>
    <mergeCell ref="A26:B26"/>
    <mergeCell ref="C26:D26"/>
    <mergeCell ref="A27:B27"/>
    <mergeCell ref="C27:D27"/>
    <mergeCell ref="A28:B28"/>
    <mergeCell ref="C28:D28"/>
    <mergeCell ref="A23:B23"/>
    <mergeCell ref="C23:D23"/>
    <mergeCell ref="A24:B24"/>
    <mergeCell ref="C24:D24"/>
    <mergeCell ref="A25:B25"/>
    <mergeCell ref="C25:D25"/>
    <mergeCell ref="A20:B20"/>
    <mergeCell ref="C20:D20"/>
    <mergeCell ref="A21:B21"/>
    <mergeCell ref="C21:D21"/>
    <mergeCell ref="A22:B22"/>
    <mergeCell ref="C22:D22"/>
    <mergeCell ref="A17:B17"/>
    <mergeCell ref="C17:D17"/>
    <mergeCell ref="A18:B18"/>
    <mergeCell ref="C18:D18"/>
    <mergeCell ref="A19:B19"/>
    <mergeCell ref="C19:D19"/>
    <mergeCell ref="A14:B14"/>
    <mergeCell ref="C14:D14"/>
    <mergeCell ref="A15:B15"/>
    <mergeCell ref="C15:D15"/>
    <mergeCell ref="A16:B16"/>
    <mergeCell ref="C16:D16"/>
    <mergeCell ref="A1:D3"/>
    <mergeCell ref="A7:D7"/>
    <mergeCell ref="A8:D8"/>
    <mergeCell ref="A12:B12"/>
    <mergeCell ref="C12:D12"/>
    <mergeCell ref="A13:B13"/>
    <mergeCell ref="C13:D13"/>
  </mergeCells>
  <pageMargins left="0.7" right="0.7" top="0.75" bottom="0.75" header="0.3" footer="0.3"/>
  <pageSetup scale="90" orientation="portrait" horizontalDpi="0" verticalDpi="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43"/>
  <sheetViews>
    <sheetView workbookViewId="0">
      <selection activeCell="A8" sqref="A8:D8"/>
    </sheetView>
  </sheetViews>
  <sheetFormatPr defaultColWidth="9" defaultRowHeight="15" x14ac:dyDescent="0.25"/>
  <cols>
    <col min="1" max="1" width="18.140625" customWidth="1"/>
    <col min="2" max="2" width="23.140625" customWidth="1"/>
    <col min="3" max="3" width="28.5703125" customWidth="1"/>
    <col min="4" max="4" width="24.85546875" customWidth="1"/>
    <col min="6" max="6" width="13.140625" customWidth="1"/>
    <col min="9" max="9" width="11.5703125" customWidth="1"/>
  </cols>
  <sheetData>
    <row r="1" spans="1:9" ht="18" customHeight="1" x14ac:dyDescent="0.25">
      <c r="A1" s="1"/>
      <c r="B1" s="2"/>
      <c r="C1" s="2"/>
      <c r="D1" s="3"/>
    </row>
    <row r="2" spans="1:9" ht="15" customHeight="1" x14ac:dyDescent="0.25">
      <c r="A2" s="4"/>
      <c r="B2" s="5"/>
      <c r="C2" s="5"/>
      <c r="D2" s="6"/>
    </row>
    <row r="3" spans="1:9" ht="15.75" thickBot="1" x14ac:dyDescent="0.3">
      <c r="A3" s="7"/>
      <c r="B3" s="8"/>
      <c r="C3" s="8"/>
      <c r="D3" s="9"/>
    </row>
    <row r="4" spans="1:9" x14ac:dyDescent="0.25">
      <c r="A4" s="10">
        <v>46287</v>
      </c>
      <c r="B4" s="11"/>
      <c r="C4" s="12"/>
      <c r="D4" s="13"/>
    </row>
    <row r="5" spans="1:9" x14ac:dyDescent="0.25">
      <c r="A5" s="14" t="s">
        <v>0</v>
      </c>
      <c r="B5" s="15"/>
      <c r="C5" s="12"/>
      <c r="D5" s="13"/>
    </row>
    <row r="6" spans="1:9" ht="17.25" customHeight="1" x14ac:dyDescent="0.25">
      <c r="A6" s="14"/>
      <c r="B6" s="15"/>
      <c r="C6" s="12"/>
      <c r="D6" s="13"/>
    </row>
    <row r="7" spans="1:9" ht="18.75" x14ac:dyDescent="0.25">
      <c r="A7" s="16" t="s">
        <v>46</v>
      </c>
      <c r="B7" s="17"/>
      <c r="C7" s="17"/>
      <c r="D7" s="18"/>
    </row>
    <row r="8" spans="1:9" ht="24.75" customHeight="1" x14ac:dyDescent="0.25">
      <c r="A8" s="19" t="s">
        <v>47</v>
      </c>
      <c r="B8" s="20"/>
      <c r="C8" s="20"/>
      <c r="D8" s="21"/>
    </row>
    <row r="9" spans="1:9" ht="18.75" customHeight="1" x14ac:dyDescent="0.25">
      <c r="A9" s="22"/>
      <c r="B9" s="23"/>
      <c r="C9" s="23"/>
      <c r="D9" s="24"/>
    </row>
    <row r="10" spans="1:9" x14ac:dyDescent="0.25">
      <c r="A10" s="25" t="s">
        <v>1</v>
      </c>
      <c r="B10" s="26"/>
      <c r="C10" s="12"/>
      <c r="D10" s="13"/>
    </row>
    <row r="11" spans="1:9" x14ac:dyDescent="0.25">
      <c r="A11" s="25" t="s">
        <v>2</v>
      </c>
      <c r="B11" s="26"/>
      <c r="C11" s="12"/>
      <c r="D11" s="13"/>
    </row>
    <row r="12" spans="1:9" x14ac:dyDescent="0.25">
      <c r="A12" s="27" t="s">
        <v>3</v>
      </c>
      <c r="B12" s="28"/>
      <c r="C12" s="29" t="s">
        <v>4</v>
      </c>
      <c r="D12" s="30"/>
      <c r="G12" s="31"/>
    </row>
    <row r="13" spans="1:9" x14ac:dyDescent="0.25">
      <c r="A13" s="27" t="s">
        <v>5</v>
      </c>
      <c r="B13" s="28"/>
      <c r="C13" s="32" t="s">
        <v>6</v>
      </c>
      <c r="D13" s="33"/>
      <c r="G13" s="34"/>
    </row>
    <row r="14" spans="1:9" x14ac:dyDescent="0.25">
      <c r="A14" s="27" t="s">
        <v>7</v>
      </c>
      <c r="B14" s="28"/>
      <c r="C14" s="35">
        <v>46288</v>
      </c>
      <c r="D14" s="36"/>
      <c r="I14" s="37"/>
    </row>
    <row r="15" spans="1:9" x14ac:dyDescent="0.25">
      <c r="A15" s="38" t="s">
        <v>8</v>
      </c>
      <c r="B15" s="39"/>
      <c r="C15" s="40">
        <v>46288</v>
      </c>
      <c r="D15" s="41"/>
      <c r="F15" s="42"/>
    </row>
    <row r="16" spans="1:9" x14ac:dyDescent="0.25">
      <c r="A16" s="38" t="s">
        <v>9</v>
      </c>
      <c r="B16" s="39"/>
      <c r="C16" s="43" t="s">
        <v>10</v>
      </c>
      <c r="D16" s="44"/>
    </row>
    <row r="17" spans="1:10" x14ac:dyDescent="0.25">
      <c r="A17" s="38" t="s">
        <v>11</v>
      </c>
      <c r="B17" s="39"/>
      <c r="C17" s="45">
        <v>100</v>
      </c>
      <c r="D17" s="46"/>
      <c r="H17" s="34"/>
      <c r="J17" s="34"/>
    </row>
    <row r="18" spans="1:10" ht="16.5" customHeight="1" x14ac:dyDescent="0.25">
      <c r="A18" s="47" t="s">
        <v>12</v>
      </c>
      <c r="B18" s="48"/>
      <c r="C18" s="49" t="s">
        <v>13</v>
      </c>
      <c r="D18" s="50"/>
      <c r="H18" s="34"/>
      <c r="J18" s="34"/>
    </row>
    <row r="19" spans="1:10" ht="13.5" customHeight="1" x14ac:dyDescent="0.25">
      <c r="A19" s="51" t="s">
        <v>14</v>
      </c>
      <c r="B19" s="52"/>
      <c r="C19" s="53">
        <v>46866</v>
      </c>
      <c r="D19" s="54"/>
      <c r="F19" s="55"/>
    </row>
    <row r="20" spans="1:10" x14ac:dyDescent="0.25">
      <c r="A20" s="51" t="s">
        <v>15</v>
      </c>
      <c r="B20" s="52"/>
      <c r="C20" s="56" t="s">
        <v>16</v>
      </c>
      <c r="D20" s="57"/>
      <c r="F20" s="37"/>
    </row>
    <row r="21" spans="1:10" x14ac:dyDescent="0.25">
      <c r="A21" s="51" t="s">
        <v>17</v>
      </c>
      <c r="B21" s="52"/>
      <c r="C21" s="32">
        <v>46296</v>
      </c>
      <c r="D21" s="33"/>
      <c r="I21" s="58"/>
    </row>
    <row r="22" spans="1:10" x14ac:dyDescent="0.25">
      <c r="A22" s="51" t="s">
        <v>18</v>
      </c>
      <c r="B22" s="52"/>
      <c r="C22" s="59">
        <v>0.13</v>
      </c>
      <c r="D22" s="60"/>
    </row>
    <row r="23" spans="1:10" x14ac:dyDescent="0.25">
      <c r="A23" s="51" t="s">
        <v>19</v>
      </c>
      <c r="B23" s="52"/>
      <c r="C23" s="61">
        <f>C15-C21</f>
        <v>-8</v>
      </c>
      <c r="D23" s="62"/>
    </row>
    <row r="24" spans="1:10" x14ac:dyDescent="0.25">
      <c r="A24" s="51" t="s">
        <v>20</v>
      </c>
      <c r="B24" s="52"/>
      <c r="C24" s="61">
        <v>100</v>
      </c>
      <c r="D24" s="62"/>
    </row>
    <row r="25" spans="1:10" x14ac:dyDescent="0.25">
      <c r="A25" s="51" t="s">
        <v>21</v>
      </c>
      <c r="B25" s="52"/>
      <c r="C25" s="63">
        <f>10000*C24</f>
        <v>1000000</v>
      </c>
      <c r="D25" s="64"/>
    </row>
    <row r="26" spans="1:10" x14ac:dyDescent="0.25">
      <c r="A26" s="65" t="s">
        <v>22</v>
      </c>
      <c r="B26" s="66"/>
      <c r="C26" s="67">
        <f>C25*C17/100</f>
        <v>1000000</v>
      </c>
      <c r="D26" s="68"/>
    </row>
    <row r="27" spans="1:10" x14ac:dyDescent="0.25">
      <c r="A27" s="65" t="s">
        <v>23</v>
      </c>
      <c r="B27" s="66"/>
      <c r="C27" s="69">
        <f>C25*C22*C23/365</f>
        <v>-2849.3150684931506</v>
      </c>
      <c r="D27" s="70"/>
    </row>
    <row r="28" spans="1:10" x14ac:dyDescent="0.25">
      <c r="A28" s="65" t="s">
        <v>24</v>
      </c>
      <c r="B28" s="66"/>
      <c r="C28" s="71">
        <v>1</v>
      </c>
      <c r="D28" s="72"/>
    </row>
    <row r="29" spans="1:10" x14ac:dyDescent="0.25">
      <c r="A29" s="65" t="s">
        <v>25</v>
      </c>
      <c r="B29" s="66"/>
      <c r="C29" s="71">
        <f>C26+C27+C28</f>
        <v>997151.68493150687</v>
      </c>
      <c r="D29" s="72"/>
    </row>
    <row r="30" spans="1:10" x14ac:dyDescent="0.25">
      <c r="A30" s="73" t="s">
        <v>26</v>
      </c>
      <c r="B30" s="74" t="s">
        <v>27</v>
      </c>
      <c r="C30" s="75" t="s">
        <v>28</v>
      </c>
      <c r="D30" s="76"/>
      <c r="F30" s="77"/>
    </row>
    <row r="31" spans="1:10" x14ac:dyDescent="0.25">
      <c r="A31" s="73" t="s">
        <v>29</v>
      </c>
      <c r="B31" s="78" t="s">
        <v>30</v>
      </c>
      <c r="C31" s="79" t="s">
        <v>31</v>
      </c>
      <c r="D31" s="76" t="s">
        <v>32</v>
      </c>
    </row>
    <row r="32" spans="1:10" x14ac:dyDescent="0.25">
      <c r="A32" s="80" t="s">
        <v>33</v>
      </c>
      <c r="B32" s="81" t="s">
        <v>34</v>
      </c>
      <c r="C32" s="82" t="s">
        <v>35</v>
      </c>
      <c r="D32" s="83" t="s">
        <v>34</v>
      </c>
    </row>
    <row r="33" spans="1:9" x14ac:dyDescent="0.25">
      <c r="A33" s="73" t="s">
        <v>36</v>
      </c>
      <c r="B33" s="84" t="s">
        <v>37</v>
      </c>
      <c r="C33" s="79" t="s">
        <v>38</v>
      </c>
      <c r="D33" s="85">
        <v>8715962</v>
      </c>
    </row>
    <row r="34" spans="1:9" ht="14.25" customHeight="1" x14ac:dyDescent="0.25">
      <c r="A34" s="73" t="s">
        <v>39</v>
      </c>
      <c r="B34" s="84">
        <v>2627118</v>
      </c>
      <c r="C34" s="79" t="s">
        <v>40</v>
      </c>
      <c r="D34" s="85" t="s">
        <v>41</v>
      </c>
    </row>
    <row r="35" spans="1:9" ht="78" customHeight="1" x14ac:dyDescent="0.25">
      <c r="A35" s="86" t="s">
        <v>42</v>
      </c>
      <c r="B35" s="87"/>
      <c r="C35" s="87"/>
      <c r="D35" s="88"/>
      <c r="I35" s="89"/>
    </row>
    <row r="36" spans="1:9" ht="33.75" customHeight="1" x14ac:dyDescent="0.25">
      <c r="A36" s="90" t="s">
        <v>43</v>
      </c>
      <c r="B36" s="91"/>
      <c r="C36" s="91"/>
      <c r="D36" s="92"/>
      <c r="I36" s="89"/>
    </row>
    <row r="37" spans="1:9" x14ac:dyDescent="0.25">
      <c r="A37" s="25" t="s">
        <v>44</v>
      </c>
      <c r="B37" s="26"/>
      <c r="C37" s="12"/>
      <c r="D37" s="13"/>
    </row>
    <row r="38" spans="1:9" x14ac:dyDescent="0.25">
      <c r="A38" s="93"/>
      <c r="B38" s="26"/>
      <c r="C38" s="12"/>
      <c r="D38" s="13"/>
    </row>
    <row r="39" spans="1:9" x14ac:dyDescent="0.25">
      <c r="A39" s="93"/>
      <c r="B39" s="12"/>
      <c r="C39" s="94" t="str">
        <f>A7</f>
        <v>Counterparty Name-</v>
      </c>
      <c r="D39" s="95"/>
    </row>
    <row r="40" spans="1:9" x14ac:dyDescent="0.25">
      <c r="A40" s="14" t="s">
        <v>45</v>
      </c>
      <c r="B40" s="12"/>
      <c r="C40" s="15" t="s">
        <v>45</v>
      </c>
      <c r="D40" s="13"/>
    </row>
    <row r="41" spans="1:9" x14ac:dyDescent="0.25">
      <c r="A41" s="14"/>
      <c r="B41" s="12"/>
      <c r="C41" s="15"/>
      <c r="D41" s="13"/>
    </row>
    <row r="42" spans="1:9" ht="15.75" thickBot="1" x14ac:dyDescent="0.3">
      <c r="A42" s="96"/>
      <c r="B42" s="97"/>
      <c r="C42" s="98"/>
      <c r="D42" s="99"/>
    </row>
    <row r="43" spans="1:9" x14ac:dyDescent="0.25">
      <c r="A43" s="12"/>
      <c r="B43" s="12"/>
      <c r="C43" s="12"/>
      <c r="D43" s="12"/>
    </row>
  </sheetData>
  <mergeCells count="43">
    <mergeCell ref="A29:B29"/>
    <mergeCell ref="C29:D29"/>
    <mergeCell ref="A35:D35"/>
    <mergeCell ref="A36:D36"/>
    <mergeCell ref="A38:A39"/>
    <mergeCell ref="C39:D39"/>
    <mergeCell ref="A26:B26"/>
    <mergeCell ref="C26:D26"/>
    <mergeCell ref="A27:B27"/>
    <mergeCell ref="C27:D27"/>
    <mergeCell ref="A28:B28"/>
    <mergeCell ref="C28:D28"/>
    <mergeCell ref="A23:B23"/>
    <mergeCell ref="C23:D23"/>
    <mergeCell ref="A24:B24"/>
    <mergeCell ref="C24:D24"/>
    <mergeCell ref="A25:B25"/>
    <mergeCell ref="C25:D25"/>
    <mergeCell ref="A20:B20"/>
    <mergeCell ref="C20:D20"/>
    <mergeCell ref="A21:B21"/>
    <mergeCell ref="C21:D21"/>
    <mergeCell ref="A22:B22"/>
    <mergeCell ref="C22:D22"/>
    <mergeCell ref="A17:B17"/>
    <mergeCell ref="C17:D17"/>
    <mergeCell ref="A18:B18"/>
    <mergeCell ref="C18:D18"/>
    <mergeCell ref="A19:B19"/>
    <mergeCell ref="C19:D19"/>
    <mergeCell ref="A14:B14"/>
    <mergeCell ref="C14:D14"/>
    <mergeCell ref="A15:B15"/>
    <mergeCell ref="C15:D15"/>
    <mergeCell ref="A16:B16"/>
    <mergeCell ref="C16:D16"/>
    <mergeCell ref="A1:D3"/>
    <mergeCell ref="A7:D7"/>
    <mergeCell ref="A8:D8"/>
    <mergeCell ref="A12:B12"/>
    <mergeCell ref="C12:D12"/>
    <mergeCell ref="A13:B13"/>
    <mergeCell ref="C13:D13"/>
  </mergeCells>
  <pageMargins left="0.7" right="0.7" top="0.75" bottom="0.75" header="0.3" footer="0.3"/>
  <pageSetup scale="95" orientation="portrait" horizontalDpi="0" verticalDpi="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8E73A2-EA7E-436B-B7E5-137A02DE780C}">
  <dimension ref="A1:J46"/>
  <sheetViews>
    <sheetView tabSelected="1" workbookViewId="0">
      <selection activeCell="I24" sqref="I24"/>
    </sheetView>
  </sheetViews>
  <sheetFormatPr defaultColWidth="9" defaultRowHeight="15" x14ac:dyDescent="0.25"/>
  <cols>
    <col min="1" max="1" width="18.85546875" customWidth="1"/>
    <col min="2" max="2" width="25.85546875" customWidth="1"/>
    <col min="3" max="3" width="17.140625" customWidth="1"/>
    <col min="4" max="4" width="28.42578125" customWidth="1"/>
    <col min="6" max="6" width="13.140625" customWidth="1"/>
    <col min="9" max="9" width="11.5703125" customWidth="1"/>
  </cols>
  <sheetData>
    <row r="1" spans="1:9" ht="18" customHeight="1" x14ac:dyDescent="0.25">
      <c r="A1" s="1"/>
      <c r="B1" s="2"/>
      <c r="C1" s="2"/>
      <c r="D1" s="3"/>
    </row>
    <row r="2" spans="1:9" ht="19.5" customHeight="1" x14ac:dyDescent="0.25">
      <c r="A2" s="4"/>
      <c r="B2" s="5"/>
      <c r="C2" s="5"/>
      <c r="D2" s="6"/>
    </row>
    <row r="3" spans="1:9" ht="15.75" thickBot="1" x14ac:dyDescent="0.3">
      <c r="A3" s="7"/>
      <c r="B3" s="8"/>
      <c r="C3" s="8"/>
      <c r="D3" s="9"/>
    </row>
    <row r="4" spans="1:9" ht="17.25" customHeight="1" x14ac:dyDescent="0.25">
      <c r="A4" s="10">
        <v>46287</v>
      </c>
      <c r="B4" s="11"/>
      <c r="C4" s="12"/>
      <c r="D4" s="13"/>
    </row>
    <row r="5" spans="1:9" x14ac:dyDescent="0.25">
      <c r="A5" s="14" t="s">
        <v>57</v>
      </c>
      <c r="B5" s="15"/>
      <c r="C5" s="12"/>
      <c r="D5" s="13"/>
    </row>
    <row r="6" spans="1:9" ht="17.25" customHeight="1" x14ac:dyDescent="0.25">
      <c r="A6" s="14"/>
      <c r="B6" s="15"/>
      <c r="C6" s="12"/>
      <c r="D6" s="13"/>
    </row>
    <row r="7" spans="1:9" ht="16.5" x14ac:dyDescent="0.25">
      <c r="A7" s="100" t="s">
        <v>46</v>
      </c>
      <c r="B7" s="101"/>
      <c r="C7" s="101"/>
      <c r="D7" s="102"/>
    </row>
    <row r="8" spans="1:9" ht="16.5" x14ac:dyDescent="0.25">
      <c r="A8" s="103" t="s">
        <v>56</v>
      </c>
      <c r="B8" s="104"/>
      <c r="C8" s="104"/>
      <c r="D8" s="105"/>
    </row>
    <row r="9" spans="1:9" ht="18.75" x14ac:dyDescent="0.25">
      <c r="A9" s="106"/>
      <c r="B9" s="107"/>
      <c r="C9" s="107"/>
      <c r="D9" s="108"/>
    </row>
    <row r="10" spans="1:9" x14ac:dyDescent="0.25">
      <c r="A10" s="25" t="s">
        <v>1</v>
      </c>
      <c r="B10" s="26"/>
      <c r="C10" s="12"/>
      <c r="D10" s="13"/>
    </row>
    <row r="11" spans="1:9" x14ac:dyDescent="0.25">
      <c r="A11" s="25" t="s">
        <v>2</v>
      </c>
      <c r="B11" s="26"/>
      <c r="C11" s="12"/>
      <c r="D11" s="13"/>
    </row>
    <row r="12" spans="1:9" x14ac:dyDescent="0.25">
      <c r="A12" s="27" t="s">
        <v>3</v>
      </c>
      <c r="B12" s="28"/>
      <c r="C12" s="29" t="s">
        <v>48</v>
      </c>
      <c r="D12" s="30"/>
      <c r="G12" s="31"/>
    </row>
    <row r="13" spans="1:9" x14ac:dyDescent="0.25">
      <c r="A13" s="27" t="s">
        <v>5</v>
      </c>
      <c r="B13" s="28"/>
      <c r="C13" s="32" t="s">
        <v>6</v>
      </c>
      <c r="D13" s="33"/>
      <c r="G13" s="34"/>
    </row>
    <row r="14" spans="1:9" x14ac:dyDescent="0.25">
      <c r="A14" s="27" t="s">
        <v>7</v>
      </c>
      <c r="B14" s="28"/>
      <c r="C14" s="35">
        <v>46288</v>
      </c>
      <c r="D14" s="36"/>
      <c r="I14" s="37"/>
    </row>
    <row r="15" spans="1:9" x14ac:dyDescent="0.25">
      <c r="A15" s="38" t="s">
        <v>8</v>
      </c>
      <c r="B15" s="39"/>
      <c r="C15" s="40">
        <v>46288</v>
      </c>
      <c r="D15" s="41"/>
      <c r="F15" s="42"/>
    </row>
    <row r="16" spans="1:9" x14ac:dyDescent="0.25">
      <c r="A16" s="38" t="s">
        <v>9</v>
      </c>
      <c r="B16" s="39"/>
      <c r="C16" s="43" t="s">
        <v>10</v>
      </c>
      <c r="D16" s="44"/>
    </row>
    <row r="17" spans="1:10" x14ac:dyDescent="0.25">
      <c r="A17" s="38" t="s">
        <v>11</v>
      </c>
      <c r="B17" s="39"/>
      <c r="C17" s="45">
        <v>100</v>
      </c>
      <c r="D17" s="46"/>
      <c r="H17" s="34"/>
      <c r="J17" s="34"/>
    </row>
    <row r="18" spans="1:10" ht="15" customHeight="1" x14ac:dyDescent="0.25">
      <c r="A18" s="47" t="s">
        <v>12</v>
      </c>
      <c r="B18" s="48"/>
      <c r="C18" s="49" t="s">
        <v>13</v>
      </c>
      <c r="D18" s="50"/>
      <c r="H18" s="34"/>
      <c r="J18" s="34"/>
    </row>
    <row r="19" spans="1:10" x14ac:dyDescent="0.25">
      <c r="A19" s="51" t="s">
        <v>49</v>
      </c>
      <c r="B19" s="52"/>
      <c r="C19" s="53">
        <v>46871</v>
      </c>
      <c r="D19" s="54"/>
      <c r="F19" s="55"/>
    </row>
    <row r="20" spans="1:10" x14ac:dyDescent="0.25">
      <c r="A20" s="51" t="s">
        <v>50</v>
      </c>
      <c r="B20" s="52"/>
      <c r="C20" s="56" t="s">
        <v>58</v>
      </c>
      <c r="D20" s="57"/>
    </row>
    <row r="21" spans="1:10" x14ac:dyDescent="0.25">
      <c r="A21" s="51" t="s">
        <v>17</v>
      </c>
      <c r="B21" s="52"/>
      <c r="C21" s="32">
        <v>46296</v>
      </c>
      <c r="D21" s="33"/>
      <c r="I21" s="58"/>
    </row>
    <row r="22" spans="1:10" x14ac:dyDescent="0.25">
      <c r="A22" s="51" t="s">
        <v>18</v>
      </c>
      <c r="B22" s="52"/>
      <c r="C22" s="59">
        <v>0.13</v>
      </c>
      <c r="D22" s="60"/>
    </row>
    <row r="23" spans="1:10" x14ac:dyDescent="0.25">
      <c r="A23" s="51" t="s">
        <v>51</v>
      </c>
      <c r="B23" s="52"/>
      <c r="C23" s="61">
        <f>C15-C21</f>
        <v>-8</v>
      </c>
      <c r="D23" s="62"/>
    </row>
    <row r="24" spans="1:10" x14ac:dyDescent="0.25">
      <c r="A24" s="51" t="s">
        <v>52</v>
      </c>
      <c r="B24" s="52"/>
      <c r="C24" s="61">
        <v>100</v>
      </c>
      <c r="D24" s="62"/>
    </row>
    <row r="25" spans="1:10" x14ac:dyDescent="0.25">
      <c r="A25" s="51" t="s">
        <v>53</v>
      </c>
      <c r="B25" s="52"/>
      <c r="C25" s="63">
        <f>10000*C24</f>
        <v>1000000</v>
      </c>
      <c r="D25" s="64"/>
    </row>
    <row r="26" spans="1:10" x14ac:dyDescent="0.25">
      <c r="A26" s="65" t="s">
        <v>54</v>
      </c>
      <c r="B26" s="66"/>
      <c r="C26" s="67">
        <f>C25*C17/100</f>
        <v>1000000</v>
      </c>
      <c r="D26" s="68"/>
    </row>
    <row r="27" spans="1:10" x14ac:dyDescent="0.25">
      <c r="A27" s="65" t="s">
        <v>23</v>
      </c>
      <c r="B27" s="66"/>
      <c r="C27" s="69">
        <f>C25*C22*C23/365</f>
        <v>-2849.3150684931506</v>
      </c>
      <c r="D27" s="70"/>
    </row>
    <row r="28" spans="1:10" ht="17.25" x14ac:dyDescent="0.4">
      <c r="A28" s="65" t="s">
        <v>55</v>
      </c>
      <c r="B28" s="66"/>
      <c r="C28" s="109">
        <v>1</v>
      </c>
      <c r="D28" s="110"/>
      <c r="F28" s="77"/>
    </row>
    <row r="29" spans="1:10" ht="17.25" x14ac:dyDescent="0.4">
      <c r="A29" s="65" t="s">
        <v>25</v>
      </c>
      <c r="B29" s="66"/>
      <c r="C29" s="109">
        <f>C26+C27+C28</f>
        <v>997151.68493150687</v>
      </c>
      <c r="D29" s="110"/>
    </row>
    <row r="30" spans="1:10" x14ac:dyDescent="0.25">
      <c r="A30" s="73" t="s">
        <v>26</v>
      </c>
      <c r="B30" s="74" t="s">
        <v>27</v>
      </c>
      <c r="C30" s="75" t="s">
        <v>28</v>
      </c>
      <c r="D30" s="76"/>
    </row>
    <row r="31" spans="1:10" x14ac:dyDescent="0.25">
      <c r="A31" s="73" t="s">
        <v>29</v>
      </c>
      <c r="B31" s="78" t="s">
        <v>30</v>
      </c>
      <c r="C31" s="79" t="s">
        <v>31</v>
      </c>
      <c r="D31" s="76" t="s">
        <v>32</v>
      </c>
    </row>
    <row r="32" spans="1:10" x14ac:dyDescent="0.25">
      <c r="A32" s="111" t="s">
        <v>33</v>
      </c>
      <c r="B32" s="112" t="s">
        <v>34</v>
      </c>
      <c r="C32" s="82" t="s">
        <v>35</v>
      </c>
      <c r="D32" s="113" t="s">
        <v>34</v>
      </c>
    </row>
    <row r="33" spans="1:4" x14ac:dyDescent="0.25">
      <c r="A33" s="73" t="s">
        <v>36</v>
      </c>
      <c r="B33" s="84" t="s">
        <v>37</v>
      </c>
      <c r="C33" s="79" t="s">
        <v>38</v>
      </c>
      <c r="D33" s="85">
        <v>8715962</v>
      </c>
    </row>
    <row r="34" spans="1:4" x14ac:dyDescent="0.25">
      <c r="A34" s="73" t="s">
        <v>39</v>
      </c>
      <c r="B34" s="84">
        <v>2627118</v>
      </c>
      <c r="C34" s="79" t="s">
        <v>40</v>
      </c>
      <c r="D34" s="85" t="s">
        <v>41</v>
      </c>
    </row>
    <row r="35" spans="1:4" x14ac:dyDescent="0.25">
      <c r="A35" s="25" t="s">
        <v>44</v>
      </c>
      <c r="B35" s="26"/>
      <c r="C35" s="12"/>
      <c r="D35" s="13"/>
    </row>
    <row r="36" spans="1:4" x14ac:dyDescent="0.25">
      <c r="A36" s="93"/>
      <c r="B36" s="26"/>
      <c r="C36" s="12"/>
      <c r="D36" s="13"/>
    </row>
    <row r="37" spans="1:4" x14ac:dyDescent="0.25">
      <c r="A37" s="93"/>
      <c r="B37" s="12"/>
      <c r="C37" s="94" t="str">
        <f>A7</f>
        <v>Counterparty Name-</v>
      </c>
      <c r="D37" s="95"/>
    </row>
    <row r="38" spans="1:4" x14ac:dyDescent="0.25">
      <c r="A38" s="14" t="s">
        <v>45</v>
      </c>
      <c r="B38" s="12"/>
      <c r="C38" s="15" t="s">
        <v>45</v>
      </c>
      <c r="D38" s="13"/>
    </row>
    <row r="39" spans="1:4" x14ac:dyDescent="0.25">
      <c r="A39" s="14"/>
      <c r="B39" s="12"/>
      <c r="C39" s="15"/>
      <c r="D39" s="13"/>
    </row>
    <row r="40" spans="1:4" x14ac:dyDescent="0.25">
      <c r="A40" s="14"/>
      <c r="B40" s="12"/>
      <c r="C40" s="15"/>
      <c r="D40" s="13"/>
    </row>
    <row r="41" spans="1:4" x14ac:dyDescent="0.25">
      <c r="A41" s="14"/>
      <c r="B41" s="12"/>
      <c r="C41" s="15"/>
      <c r="D41" s="13"/>
    </row>
    <row r="42" spans="1:4" x14ac:dyDescent="0.25">
      <c r="A42" s="14"/>
      <c r="B42" s="12"/>
      <c r="C42" s="15"/>
      <c r="D42" s="13"/>
    </row>
    <row r="43" spans="1:4" x14ac:dyDescent="0.25">
      <c r="A43" s="14"/>
      <c r="B43" s="12"/>
      <c r="C43" s="15"/>
      <c r="D43" s="13"/>
    </row>
    <row r="44" spans="1:4" ht="17.25" customHeight="1" x14ac:dyDescent="0.25">
      <c r="A44" s="14"/>
      <c r="B44" s="12"/>
      <c r="C44" s="15"/>
      <c r="D44" s="13"/>
    </row>
    <row r="45" spans="1:4" ht="15.75" thickBot="1" x14ac:dyDescent="0.3">
      <c r="A45" s="96"/>
      <c r="B45" s="97"/>
      <c r="C45" s="98"/>
      <c r="D45" s="99"/>
    </row>
    <row r="46" spans="1:4" x14ac:dyDescent="0.25">
      <c r="A46" s="12"/>
      <c r="B46" s="12"/>
      <c r="C46" s="12"/>
      <c r="D46" s="12"/>
    </row>
  </sheetData>
  <mergeCells count="40">
    <mergeCell ref="A29:B29"/>
    <mergeCell ref="C29:D29"/>
    <mergeCell ref="A36:A37"/>
    <mergeCell ref="C37:D37"/>
    <mergeCell ref="A26:B26"/>
    <mergeCell ref="C26:D26"/>
    <mergeCell ref="A27:B27"/>
    <mergeCell ref="C27:D27"/>
    <mergeCell ref="A28:B28"/>
    <mergeCell ref="C28:D28"/>
    <mergeCell ref="A23:B23"/>
    <mergeCell ref="C23:D23"/>
    <mergeCell ref="A24:B24"/>
    <mergeCell ref="C24:D24"/>
    <mergeCell ref="A25:B25"/>
    <mergeCell ref="C25:D25"/>
    <mergeCell ref="A20:B20"/>
    <mergeCell ref="C20:D20"/>
    <mergeCell ref="A21:B21"/>
    <mergeCell ref="C21:D21"/>
    <mergeCell ref="A22:B22"/>
    <mergeCell ref="C22:D22"/>
    <mergeCell ref="A17:B17"/>
    <mergeCell ref="C17:D17"/>
    <mergeCell ref="A18:B18"/>
    <mergeCell ref="C18:D18"/>
    <mergeCell ref="A19:B19"/>
    <mergeCell ref="C19:D19"/>
    <mergeCell ref="A14:B14"/>
    <mergeCell ref="C14:D14"/>
    <mergeCell ref="A15:B15"/>
    <mergeCell ref="C15:D15"/>
    <mergeCell ref="A16:B16"/>
    <mergeCell ref="C16:D16"/>
    <mergeCell ref="A1:D3"/>
    <mergeCell ref="A7:D7"/>
    <mergeCell ref="A12:B12"/>
    <mergeCell ref="C12:D12"/>
    <mergeCell ref="A13:B13"/>
    <mergeCell ref="C13:D13"/>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2F6650-EC26-4812-8C96-465AB7505F6A}">
  <dimension ref="A1:J45"/>
  <sheetViews>
    <sheetView workbookViewId="0">
      <selection activeCell="G25" sqref="G25"/>
    </sheetView>
  </sheetViews>
  <sheetFormatPr defaultColWidth="9" defaultRowHeight="15" x14ac:dyDescent="0.25"/>
  <cols>
    <col min="1" max="1" width="18.42578125" customWidth="1"/>
    <col min="2" max="2" width="25.42578125" customWidth="1"/>
    <col min="3" max="3" width="23.42578125" customWidth="1"/>
    <col min="4" max="4" width="20.5703125" customWidth="1"/>
    <col min="6" max="6" width="13.140625" customWidth="1"/>
    <col min="9" max="9" width="11.5703125" customWidth="1"/>
  </cols>
  <sheetData>
    <row r="1" spans="1:9" ht="18" customHeight="1" x14ac:dyDescent="0.25">
      <c r="A1" s="1"/>
      <c r="B1" s="2"/>
      <c r="C1" s="2"/>
      <c r="D1" s="3"/>
    </row>
    <row r="2" spans="1:9" ht="18" customHeight="1" x14ac:dyDescent="0.25">
      <c r="A2" s="4"/>
      <c r="B2" s="5"/>
      <c r="C2" s="5"/>
      <c r="D2" s="6"/>
    </row>
    <row r="3" spans="1:9" ht="15.75" thickBot="1" x14ac:dyDescent="0.3">
      <c r="A3" s="7"/>
      <c r="B3" s="8"/>
      <c r="C3" s="8"/>
      <c r="D3" s="9"/>
    </row>
    <row r="4" spans="1:9" x14ac:dyDescent="0.25">
      <c r="A4" s="10">
        <v>46288</v>
      </c>
      <c r="B4" s="11"/>
      <c r="C4" s="12"/>
      <c r="D4" s="13"/>
    </row>
    <row r="5" spans="1:9" x14ac:dyDescent="0.25">
      <c r="A5" s="14" t="s">
        <v>57</v>
      </c>
      <c r="B5" s="15"/>
      <c r="C5" s="12"/>
      <c r="D5" s="13"/>
    </row>
    <row r="6" spans="1:9" ht="17.25" customHeight="1" x14ac:dyDescent="0.25">
      <c r="A6" s="14"/>
      <c r="B6" s="15"/>
      <c r="C6" s="12"/>
      <c r="D6" s="13"/>
    </row>
    <row r="7" spans="1:9" ht="18.75" x14ac:dyDescent="0.25">
      <c r="A7" s="16"/>
      <c r="B7" s="17"/>
      <c r="C7" s="17"/>
      <c r="D7" s="18"/>
    </row>
    <row r="8" spans="1:9" ht="18.75" x14ac:dyDescent="0.25">
      <c r="A8" s="106"/>
      <c r="B8" s="107"/>
      <c r="C8" s="107"/>
      <c r="D8" s="108"/>
    </row>
    <row r="9" spans="1:9" ht="16.5" x14ac:dyDescent="0.25">
      <c r="A9" s="103"/>
      <c r="B9" s="104"/>
      <c r="C9" s="104"/>
      <c r="D9" s="105"/>
    </row>
    <row r="10" spans="1:9" x14ac:dyDescent="0.25">
      <c r="A10" s="25" t="s">
        <v>1</v>
      </c>
      <c r="B10" s="26"/>
      <c r="C10" s="12"/>
      <c r="D10" s="13"/>
    </row>
    <row r="11" spans="1:9" x14ac:dyDescent="0.25">
      <c r="A11" s="25" t="s">
        <v>2</v>
      </c>
      <c r="B11" s="26"/>
      <c r="C11" s="12"/>
      <c r="D11" s="13"/>
    </row>
    <row r="12" spans="1:9" x14ac:dyDescent="0.25">
      <c r="A12" s="27" t="s">
        <v>3</v>
      </c>
      <c r="B12" s="28"/>
      <c r="C12" s="29" t="s">
        <v>48</v>
      </c>
      <c r="D12" s="30"/>
      <c r="G12" s="31"/>
    </row>
    <row r="13" spans="1:9" x14ac:dyDescent="0.25">
      <c r="A13" s="27" t="s">
        <v>5</v>
      </c>
      <c r="B13" s="28"/>
      <c r="C13" s="32" t="s">
        <v>78</v>
      </c>
      <c r="D13" s="33"/>
      <c r="G13" s="34"/>
    </row>
    <row r="14" spans="1:9" x14ac:dyDescent="0.25">
      <c r="A14" s="27" t="s">
        <v>7</v>
      </c>
      <c r="B14" s="28"/>
      <c r="C14" s="35">
        <v>46288</v>
      </c>
      <c r="D14" s="36"/>
      <c r="I14" s="37"/>
    </row>
    <row r="15" spans="1:9" x14ac:dyDescent="0.25">
      <c r="A15" s="38" t="s">
        <v>8</v>
      </c>
      <c r="B15" s="39"/>
      <c r="C15" s="40">
        <v>46288</v>
      </c>
      <c r="D15" s="41"/>
      <c r="F15" s="42"/>
      <c r="I15" s="31"/>
    </row>
    <row r="16" spans="1:9" x14ac:dyDescent="0.25">
      <c r="A16" s="38" t="s">
        <v>9</v>
      </c>
      <c r="B16" s="39"/>
      <c r="C16" s="43" t="s">
        <v>79</v>
      </c>
      <c r="D16" s="44"/>
      <c r="I16" s="31"/>
    </row>
    <row r="17" spans="1:10" x14ac:dyDescent="0.25">
      <c r="A17" s="38" t="s">
        <v>11</v>
      </c>
      <c r="B17" s="39"/>
      <c r="C17" s="132">
        <v>100</v>
      </c>
      <c r="D17" s="133"/>
      <c r="H17" s="34"/>
      <c r="J17" s="34"/>
    </row>
    <row r="18" spans="1:10" ht="15" customHeight="1" x14ac:dyDescent="0.25">
      <c r="A18" s="47" t="s">
        <v>12</v>
      </c>
      <c r="B18" s="48"/>
      <c r="C18" s="49" t="s">
        <v>80</v>
      </c>
      <c r="D18" s="50"/>
      <c r="H18" s="34"/>
      <c r="J18" s="34"/>
    </row>
    <row r="19" spans="1:10" x14ac:dyDescent="0.25">
      <c r="A19" s="51" t="s">
        <v>49</v>
      </c>
      <c r="B19" s="52"/>
      <c r="C19" s="53">
        <v>58859</v>
      </c>
      <c r="D19" s="54"/>
      <c r="F19" s="55"/>
    </row>
    <row r="20" spans="1:10" x14ac:dyDescent="0.25">
      <c r="A20" s="51" t="s">
        <v>81</v>
      </c>
      <c r="B20" s="52"/>
      <c r="C20" s="56" t="s">
        <v>82</v>
      </c>
      <c r="D20" s="57"/>
    </row>
    <row r="21" spans="1:10" x14ac:dyDescent="0.25">
      <c r="A21" s="51" t="s">
        <v>83</v>
      </c>
      <c r="B21" s="52"/>
      <c r="C21" s="32">
        <v>46256</v>
      </c>
      <c r="D21" s="33"/>
      <c r="I21" s="58"/>
    </row>
    <row r="22" spans="1:10" x14ac:dyDescent="0.25">
      <c r="A22" s="51" t="s">
        <v>18</v>
      </c>
      <c r="B22" s="52"/>
      <c r="C22" s="59">
        <v>6.7599999999999993E-2</v>
      </c>
      <c r="D22" s="60"/>
    </row>
    <row r="23" spans="1:10" x14ac:dyDescent="0.25">
      <c r="A23" s="51" t="s">
        <v>19</v>
      </c>
      <c r="B23" s="52"/>
      <c r="C23" s="61">
        <f>COUPDAYBS(C15,C19,2,4)</f>
        <v>31</v>
      </c>
      <c r="D23" s="62"/>
      <c r="H23" s="134"/>
    </row>
    <row r="24" spans="1:10" x14ac:dyDescent="0.25">
      <c r="A24" s="51" t="s">
        <v>20</v>
      </c>
      <c r="B24" s="52"/>
      <c r="C24" s="61">
        <v>10000</v>
      </c>
      <c r="D24" s="62"/>
    </row>
    <row r="25" spans="1:10" x14ac:dyDescent="0.25">
      <c r="A25" s="51" t="s">
        <v>21</v>
      </c>
      <c r="B25" s="52"/>
      <c r="C25" s="63">
        <f>100*C24</f>
        <v>1000000</v>
      </c>
      <c r="D25" s="64"/>
    </row>
    <row r="26" spans="1:10" x14ac:dyDescent="0.25">
      <c r="A26" s="65" t="s">
        <v>54</v>
      </c>
      <c r="B26" s="66"/>
      <c r="C26" s="67">
        <f>C25*C17/100</f>
        <v>1000000</v>
      </c>
      <c r="D26" s="68"/>
    </row>
    <row r="27" spans="1:10" x14ac:dyDescent="0.25">
      <c r="A27" s="117" t="s">
        <v>23</v>
      </c>
      <c r="B27" s="118"/>
      <c r="C27" s="135">
        <f>C25*C22*C23/360</f>
        <v>5821.1111111111113</v>
      </c>
      <c r="D27" s="136"/>
    </row>
    <row r="28" spans="1:10" ht="17.25" x14ac:dyDescent="0.4">
      <c r="A28" s="65" t="s">
        <v>63</v>
      </c>
      <c r="B28" s="66"/>
      <c r="C28" s="109">
        <f>C26+C27</f>
        <v>1005821.1111111111</v>
      </c>
      <c r="D28" s="110"/>
    </row>
    <row r="29" spans="1:10" x14ac:dyDescent="0.25">
      <c r="A29" s="137" t="s">
        <v>84</v>
      </c>
      <c r="B29" s="138"/>
      <c r="C29" s="139">
        <v>0</v>
      </c>
      <c r="D29" s="140"/>
    </row>
    <row r="30" spans="1:10" x14ac:dyDescent="0.25">
      <c r="A30" s="137" t="s">
        <v>85</v>
      </c>
      <c r="B30" s="138"/>
      <c r="C30" s="141">
        <f>C28-C29</f>
        <v>1005821.1111111111</v>
      </c>
      <c r="D30" s="142"/>
    </row>
    <row r="31" spans="1:10" x14ac:dyDescent="0.25">
      <c r="A31" s="73" t="s">
        <v>26</v>
      </c>
      <c r="B31" s="74" t="s">
        <v>27</v>
      </c>
      <c r="C31" s="75" t="s">
        <v>28</v>
      </c>
      <c r="D31" s="85"/>
    </row>
    <row r="32" spans="1:10" ht="24" x14ac:dyDescent="0.25">
      <c r="A32" s="143" t="s">
        <v>86</v>
      </c>
      <c r="B32" s="81" t="s">
        <v>87</v>
      </c>
      <c r="C32" s="81" t="s">
        <v>88</v>
      </c>
      <c r="D32" s="144"/>
    </row>
    <row r="33" spans="1:4" x14ac:dyDescent="0.25">
      <c r="A33" s="145" t="s">
        <v>89</v>
      </c>
      <c r="B33" s="78" t="s">
        <v>90</v>
      </c>
      <c r="C33" s="78" t="s">
        <v>91</v>
      </c>
      <c r="D33" s="146"/>
    </row>
    <row r="34" spans="1:4" x14ac:dyDescent="0.25">
      <c r="A34" s="145" t="s">
        <v>92</v>
      </c>
      <c r="B34" s="147">
        <v>10762882</v>
      </c>
      <c r="C34" s="78" t="s">
        <v>31</v>
      </c>
      <c r="D34" s="148"/>
    </row>
    <row r="35" spans="1:4" x14ac:dyDescent="0.25">
      <c r="A35" s="73" t="s">
        <v>93</v>
      </c>
      <c r="B35" s="129">
        <v>13472320000772</v>
      </c>
      <c r="C35" s="84" t="s">
        <v>38</v>
      </c>
      <c r="D35" s="149"/>
    </row>
    <row r="36" spans="1:4" x14ac:dyDescent="0.25">
      <c r="A36" s="25" t="s">
        <v>44</v>
      </c>
      <c r="B36" s="26"/>
      <c r="C36" s="12"/>
      <c r="D36" s="13"/>
    </row>
    <row r="37" spans="1:4" x14ac:dyDescent="0.25">
      <c r="A37" s="93"/>
      <c r="B37" s="26"/>
      <c r="C37" s="12"/>
      <c r="D37" s="13"/>
    </row>
    <row r="38" spans="1:4" x14ac:dyDescent="0.25">
      <c r="A38" s="93"/>
      <c r="B38" s="12"/>
      <c r="C38" s="94">
        <f>A7</f>
        <v>0</v>
      </c>
      <c r="D38" s="95"/>
    </row>
    <row r="39" spans="1:4" x14ac:dyDescent="0.25">
      <c r="A39" s="14" t="s">
        <v>45</v>
      </c>
      <c r="B39" s="12"/>
      <c r="C39" s="15" t="s">
        <v>45</v>
      </c>
      <c r="D39" s="13"/>
    </row>
    <row r="40" spans="1:4" x14ac:dyDescent="0.25">
      <c r="A40" s="14"/>
      <c r="B40" s="12"/>
      <c r="C40" s="15"/>
      <c r="D40" s="13"/>
    </row>
    <row r="41" spans="1:4" x14ac:dyDescent="0.25">
      <c r="A41" s="14"/>
      <c r="B41" s="12"/>
      <c r="C41" s="15"/>
      <c r="D41" s="13"/>
    </row>
    <row r="42" spans="1:4" x14ac:dyDescent="0.25">
      <c r="A42" s="14"/>
      <c r="B42" s="12"/>
      <c r="C42" s="15"/>
      <c r="D42" s="13"/>
    </row>
    <row r="43" spans="1:4" x14ac:dyDescent="0.25">
      <c r="A43" s="14"/>
      <c r="B43" s="12"/>
      <c r="C43" s="15"/>
      <c r="D43" s="13"/>
    </row>
    <row r="44" spans="1:4" x14ac:dyDescent="0.25">
      <c r="A44" s="14"/>
      <c r="B44" s="12"/>
      <c r="C44" s="15"/>
      <c r="D44" s="13"/>
    </row>
    <row r="45" spans="1:4" ht="15.75" thickBot="1" x14ac:dyDescent="0.3">
      <c r="A45" s="96"/>
      <c r="B45" s="98"/>
      <c r="C45" s="98"/>
      <c r="D45" s="150"/>
    </row>
  </sheetData>
  <mergeCells count="42">
    <mergeCell ref="A29:B29"/>
    <mergeCell ref="C29:D29"/>
    <mergeCell ref="A30:B30"/>
    <mergeCell ref="C30:D30"/>
    <mergeCell ref="A37:A38"/>
    <mergeCell ref="C38:D38"/>
    <mergeCell ref="A26:B26"/>
    <mergeCell ref="C26:D26"/>
    <mergeCell ref="A27:B27"/>
    <mergeCell ref="C27:D27"/>
    <mergeCell ref="A28:B28"/>
    <mergeCell ref="C28:D28"/>
    <mergeCell ref="A23:B23"/>
    <mergeCell ref="C23:D23"/>
    <mergeCell ref="A24:B24"/>
    <mergeCell ref="C24:D24"/>
    <mergeCell ref="A25:B25"/>
    <mergeCell ref="C25:D25"/>
    <mergeCell ref="A20:B20"/>
    <mergeCell ref="C20:D20"/>
    <mergeCell ref="A21:B21"/>
    <mergeCell ref="C21:D21"/>
    <mergeCell ref="A22:B22"/>
    <mergeCell ref="C22:D22"/>
    <mergeCell ref="A17:B17"/>
    <mergeCell ref="C17:D17"/>
    <mergeCell ref="A18:B18"/>
    <mergeCell ref="C18:D18"/>
    <mergeCell ref="A19:B19"/>
    <mergeCell ref="C19:D19"/>
    <mergeCell ref="A14:B14"/>
    <mergeCell ref="C14:D14"/>
    <mergeCell ref="A15:B15"/>
    <mergeCell ref="C15:D15"/>
    <mergeCell ref="A16:B16"/>
    <mergeCell ref="C16:D16"/>
    <mergeCell ref="A1:D3"/>
    <mergeCell ref="A7:D7"/>
    <mergeCell ref="A12:B12"/>
    <mergeCell ref="C12:D12"/>
    <mergeCell ref="A13:B13"/>
    <mergeCell ref="C13:D13"/>
  </mergeCells>
  <pageMargins left="0.7" right="0.7" top="0.75" bottom="0.75" header="0.3" footer="0.3"/>
  <pageSetup orientation="portrait" horizontalDpi="0" verticalDpi="0"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Off market Sale </vt:lpstr>
      <vt:lpstr>PSU Private Sale </vt:lpstr>
      <vt:lpstr>Psu Private Purchase </vt:lpstr>
      <vt:lpstr>Off Market Purchase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MAHESH VERMA</dc:creator>
  <cp:lastModifiedBy>MAHESH VERMA</cp:lastModifiedBy>
  <cp:lastPrinted>2026-09-23T08:52:31Z</cp:lastPrinted>
  <dcterms:created xsi:type="dcterms:W3CDTF">2015-06-05T18:17:20Z</dcterms:created>
  <dcterms:modified xsi:type="dcterms:W3CDTF">2026-09-23T08:54:23Z</dcterms:modified>
</cp:coreProperties>
</file>